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A68A087D-3DBF-4BDC-823A-E131CCDDE0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Data" sheetId="5" r:id="rId1"/>
    <sheet name="Cleaned Data" sheetId="1" r:id="rId2"/>
    <sheet name="Answer" sheetId="4" r:id="rId3"/>
  </sheets>
  <definedNames>
    <definedName name="ExternalData_2" localSheetId="0" hidden="1">'Raw Data'!$A$1:$G$601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6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G354" i="1"/>
  <c r="G280" i="1"/>
  <c r="G305" i="1"/>
  <c r="G294" i="1"/>
  <c r="G169" i="1"/>
  <c r="G509" i="1"/>
  <c r="G260" i="1"/>
  <c r="G295" i="1"/>
  <c r="G306" i="1"/>
  <c r="G406" i="1"/>
  <c r="G413" i="1"/>
  <c r="G343" i="1"/>
  <c r="G355" i="1"/>
  <c r="G490" i="1"/>
  <c r="G329" i="1"/>
  <c r="G482" i="1"/>
  <c r="G395" i="1"/>
  <c r="G528" i="1"/>
  <c r="G478" i="1"/>
  <c r="G129" i="1"/>
  <c r="G385" i="1"/>
  <c r="G396" i="1"/>
  <c r="G595" i="1"/>
  <c r="G397" i="1"/>
  <c r="G551" i="1"/>
  <c r="G330" i="1"/>
  <c r="G296" i="1"/>
  <c r="G568" i="1"/>
  <c r="G398" i="1"/>
  <c r="G399" i="1"/>
  <c r="G88" i="1"/>
  <c r="G222" i="1"/>
  <c r="G153" i="1"/>
  <c r="G170" i="1"/>
  <c r="G114" i="1"/>
  <c r="G269" i="1"/>
  <c r="G281" i="1"/>
  <c r="G282" i="1"/>
  <c r="G331" i="1"/>
  <c r="G442" i="1"/>
  <c r="G29" i="1"/>
  <c r="G43" i="1"/>
  <c r="G81" i="1"/>
  <c r="G407" i="1"/>
  <c r="G171" i="1"/>
  <c r="G469" i="1"/>
  <c r="G223" i="1"/>
  <c r="G234" i="1"/>
  <c r="G246" i="1"/>
  <c r="G283" i="1"/>
  <c r="G212" i="1"/>
  <c r="G224" i="1"/>
  <c r="G235" i="1"/>
  <c r="G558" i="1"/>
  <c r="G115" i="1"/>
  <c r="G116" i="1"/>
  <c r="G344" i="1"/>
  <c r="G356" i="1"/>
  <c r="G94" i="1"/>
  <c r="G522" i="1"/>
  <c r="G332" i="1"/>
  <c r="G542" i="1"/>
  <c r="G570" i="1"/>
  <c r="G117" i="1"/>
  <c r="G130" i="1"/>
  <c r="G142" i="1"/>
  <c r="G154" i="1"/>
  <c r="G345" i="1"/>
  <c r="G346" i="1"/>
  <c r="G462" i="1"/>
  <c r="G470" i="1"/>
  <c r="G95" i="1"/>
  <c r="G63" i="1"/>
  <c r="G103" i="1"/>
  <c r="G428" i="1"/>
  <c r="G376" i="1"/>
  <c r="G386" i="1"/>
  <c r="G471" i="1"/>
  <c r="G333" i="1"/>
  <c r="G254" i="1"/>
  <c r="G64" i="1"/>
  <c r="G36" i="1"/>
  <c r="G30" i="1"/>
  <c r="G37" i="1"/>
  <c r="G44" i="1"/>
  <c r="G45" i="1"/>
  <c r="G46" i="1"/>
  <c r="G38" i="1"/>
  <c r="G131" i="1"/>
  <c r="G400" i="1"/>
  <c r="G443" i="1"/>
  <c r="G437" i="1"/>
  <c r="G539" i="1"/>
  <c r="G449" i="1"/>
  <c r="G454" i="1"/>
  <c r="G213" i="1"/>
  <c r="G214" i="1"/>
  <c r="G307" i="1"/>
  <c r="G314" i="1"/>
  <c r="G270" i="1"/>
  <c r="G408" i="1"/>
  <c r="G423" i="1"/>
  <c r="G284" i="1"/>
  <c r="G533" i="1"/>
  <c r="G516" i="1"/>
  <c r="G455" i="1"/>
  <c r="G598" i="1"/>
  <c r="G599" i="1"/>
  <c r="G456" i="1"/>
  <c r="G573" i="1"/>
  <c r="G261" i="1"/>
  <c r="G271" i="1"/>
  <c r="G285" i="1"/>
  <c r="G297" i="1"/>
  <c r="G308" i="1"/>
  <c r="G503" i="1"/>
  <c r="G262" i="1"/>
  <c r="G504" i="1"/>
  <c r="G357" i="1"/>
  <c r="G364" i="1"/>
  <c r="G377" i="1"/>
  <c r="G444" i="1"/>
  <c r="G378" i="1"/>
  <c r="G118" i="1"/>
  <c r="G132" i="1"/>
  <c r="G143" i="1"/>
  <c r="G155" i="1"/>
  <c r="G172" i="1"/>
  <c r="G429" i="1"/>
  <c r="G424" i="1"/>
  <c r="G430" i="1"/>
  <c r="G334" i="1"/>
  <c r="G600" i="1"/>
  <c r="G82" i="1"/>
  <c r="G335" i="1"/>
  <c r="G584" i="1"/>
  <c r="G586" i="1"/>
  <c r="G588" i="1"/>
  <c r="G431" i="1"/>
  <c r="G438" i="1"/>
  <c r="G445" i="1"/>
  <c r="G450" i="1"/>
  <c r="G457" i="1"/>
  <c r="G144" i="1"/>
  <c r="G156" i="1"/>
  <c r="G173" i="1"/>
  <c r="G3" i="1"/>
  <c r="G6" i="1"/>
  <c r="G387" i="1"/>
  <c r="G529" i="1"/>
  <c r="G174" i="1"/>
  <c r="G21" i="1"/>
  <c r="G96" i="1"/>
  <c r="G22" i="1"/>
  <c r="G591" i="1"/>
  <c r="G47" i="1"/>
  <c r="G31" i="1"/>
  <c r="G23" i="1"/>
  <c r="G272" i="1"/>
  <c r="G133" i="1"/>
  <c r="G65" i="1"/>
  <c r="G236" i="1"/>
  <c r="G247" i="1"/>
  <c r="G530" i="1"/>
  <c r="G531" i="1"/>
  <c r="G157" i="1"/>
  <c r="G263" i="1"/>
  <c r="G273" i="1"/>
  <c r="G286" i="1"/>
  <c r="G298" i="1"/>
  <c r="G309" i="1"/>
  <c r="G562" i="1"/>
  <c r="G97" i="1"/>
  <c r="G104" i="1"/>
  <c r="G17" i="1"/>
  <c r="G255" i="1"/>
  <c r="G175" i="1"/>
  <c r="G336" i="1"/>
  <c r="G145" i="1"/>
  <c r="G176" i="1"/>
  <c r="G553" i="1"/>
  <c r="G510" i="1"/>
  <c r="G576" i="1"/>
  <c r="G358" i="1"/>
  <c r="G537" i="1"/>
  <c r="G534" i="1"/>
  <c r="G177" i="1"/>
  <c r="G2" i="1"/>
  <c r="G4" i="1"/>
  <c r="G7" i="1"/>
  <c r="G12" i="1"/>
  <c r="G18" i="1"/>
  <c r="G24" i="1"/>
  <c r="G388" i="1"/>
  <c r="G463" i="1"/>
  <c r="G414" i="1"/>
  <c r="G464" i="1"/>
  <c r="G365" i="1"/>
  <c r="G237" i="1"/>
  <c r="G248" i="1"/>
  <c r="G389" i="1"/>
  <c r="G401" i="1"/>
  <c r="G134" i="1"/>
  <c r="G158" i="1"/>
  <c r="G465" i="1"/>
  <c r="G472" i="1"/>
  <c r="G479" i="1"/>
  <c r="G39" i="1"/>
  <c r="G379" i="1"/>
  <c r="G390" i="1"/>
  <c r="G402" i="1"/>
  <c r="G409" i="1"/>
  <c r="G415" i="1"/>
  <c r="G466" i="1"/>
  <c r="G485" i="1"/>
  <c r="G535" i="1"/>
  <c r="G66" i="1"/>
  <c r="G446" i="1"/>
  <c r="G574" i="1"/>
  <c r="G13" i="1"/>
  <c r="G491" i="1"/>
  <c r="G473" i="1"/>
  <c r="G571" i="1"/>
  <c r="G105" i="1"/>
  <c r="G119" i="1"/>
  <c r="G159" i="1"/>
  <c r="G474" i="1"/>
  <c r="G299" i="1"/>
  <c r="G67" i="1"/>
  <c r="G287" i="1"/>
  <c r="G300" i="1"/>
  <c r="G310" i="1"/>
  <c r="G532" i="1"/>
  <c r="G391" i="1"/>
  <c r="G403" i="1"/>
  <c r="G410" i="1"/>
  <c r="G447" i="1"/>
  <c r="G451" i="1"/>
  <c r="G458" i="1"/>
  <c r="G178" i="1"/>
  <c r="G179" i="1"/>
  <c r="G337" i="1"/>
  <c r="G288" i="1"/>
  <c r="G366" i="1"/>
  <c r="G32" i="1"/>
  <c r="G5" i="1"/>
  <c r="G8" i="1"/>
  <c r="G14" i="1"/>
  <c r="G19" i="1"/>
  <c r="G25" i="1"/>
  <c r="G33" i="1"/>
  <c r="G40" i="1"/>
  <c r="G48" i="1"/>
  <c r="G120" i="1"/>
  <c r="G566" i="1"/>
  <c r="G359" i="1"/>
  <c r="G367" i="1"/>
  <c r="G486" i="1"/>
  <c r="G555" i="1"/>
  <c r="G392" i="1"/>
  <c r="G338" i="1"/>
  <c r="G347" i="1"/>
  <c r="G311" i="1"/>
  <c r="G315" i="1"/>
  <c r="G74" i="1"/>
  <c r="G146" i="1"/>
  <c r="G160" i="1"/>
  <c r="G180" i="1"/>
  <c r="G289" i="1"/>
  <c r="G549" i="1"/>
  <c r="G552" i="1"/>
  <c r="G439" i="1"/>
  <c r="G448" i="1"/>
  <c r="G452" i="1"/>
  <c r="G459" i="1"/>
  <c r="G467" i="1"/>
  <c r="G475" i="1"/>
  <c r="G480" i="1"/>
  <c r="G483" i="1"/>
  <c r="G487" i="1"/>
  <c r="G492" i="1"/>
  <c r="G147" i="1"/>
  <c r="G368" i="1"/>
  <c r="G380" i="1"/>
  <c r="G225" i="1"/>
  <c r="G238" i="1"/>
  <c r="G416" i="1"/>
  <c r="G425" i="1"/>
  <c r="G9" i="1"/>
  <c r="G15" i="1"/>
  <c r="G161" i="1"/>
  <c r="G181" i="1"/>
  <c r="G348" i="1"/>
  <c r="G162" i="1"/>
  <c r="G182" i="1"/>
  <c r="G274" i="1"/>
  <c r="G226" i="1"/>
  <c r="G163" i="1"/>
  <c r="G577" i="1"/>
  <c r="G215" i="1"/>
  <c r="G381" i="1"/>
  <c r="G360" i="1"/>
  <c r="G369" i="1"/>
  <c r="G49" i="1"/>
  <c r="G580" i="1"/>
  <c r="G582" i="1"/>
  <c r="G583" i="1"/>
  <c r="G585" i="1"/>
  <c r="G587" i="1"/>
  <c r="G589" i="1"/>
  <c r="G590" i="1"/>
  <c r="G592" i="1"/>
  <c r="G593" i="1"/>
  <c r="G440" i="1"/>
  <c r="G349" i="1"/>
  <c r="G468" i="1"/>
  <c r="G505" i="1"/>
  <c r="G511" i="1"/>
  <c r="G545" i="1"/>
  <c r="G546" i="1"/>
  <c r="G227" i="1"/>
  <c r="G239" i="1"/>
  <c r="G249" i="1"/>
  <c r="G256" i="1"/>
  <c r="G264" i="1"/>
  <c r="G121" i="1"/>
  <c r="G135" i="1"/>
  <c r="G148" i="1"/>
  <c r="G164" i="1"/>
  <c r="G183" i="1"/>
  <c r="G68" i="1"/>
  <c r="G339" i="1"/>
  <c r="G361" i="1"/>
  <c r="G370" i="1"/>
  <c r="G382" i="1"/>
  <c r="G275" i="1"/>
  <c r="G290" i="1"/>
  <c r="G301" i="1"/>
  <c r="G265" i="1"/>
  <c r="G371" i="1"/>
  <c r="G228" i="1"/>
  <c r="G240" i="1"/>
  <c r="G229" i="1"/>
  <c r="G106" i="1"/>
  <c r="G572" i="1"/>
  <c r="G184" i="1"/>
  <c r="G216" i="1"/>
  <c r="G383" i="1"/>
  <c r="G393" i="1"/>
  <c r="G107" i="1"/>
  <c r="G122" i="1"/>
  <c r="G108" i="1"/>
  <c r="G123" i="1"/>
  <c r="G601" i="1"/>
  <c r="G241" i="1"/>
  <c r="G559" i="1"/>
  <c r="G563" i="1"/>
  <c r="G543" i="1"/>
  <c r="G136" i="1"/>
  <c r="G506" i="1"/>
  <c r="G98" i="1"/>
  <c r="G109" i="1"/>
  <c r="G124" i="1"/>
  <c r="G575" i="1"/>
  <c r="G581" i="1"/>
  <c r="G250" i="1"/>
  <c r="G257" i="1"/>
  <c r="G266" i="1"/>
  <c r="G267" i="1"/>
  <c r="G340" i="1"/>
  <c r="G350" i="1"/>
  <c r="G362" i="1"/>
  <c r="G372" i="1"/>
  <c r="G384" i="1"/>
  <c r="G341" i="1"/>
  <c r="G258" i="1"/>
  <c r="G276" i="1"/>
  <c r="G291" i="1"/>
  <c r="G302" i="1"/>
  <c r="G312" i="1"/>
  <c r="G316" i="1"/>
  <c r="G149" i="1"/>
  <c r="G578" i="1"/>
  <c r="G579" i="1"/>
  <c r="G230" i="1"/>
  <c r="G242" i="1"/>
  <c r="G231" i="1"/>
  <c r="G217" i="1"/>
  <c r="G500" i="1"/>
  <c r="G507" i="1"/>
  <c r="G137" i="1"/>
  <c r="G150" i="1"/>
  <c r="G596" i="1"/>
  <c r="G597" i="1"/>
  <c r="G517" i="1"/>
  <c r="G523" i="1"/>
  <c r="G526" i="1"/>
  <c r="G494" i="1"/>
  <c r="G218" i="1"/>
  <c r="G556" i="1"/>
  <c r="G373" i="1"/>
  <c r="G165" i="1"/>
  <c r="G69" i="1"/>
  <c r="G75" i="1"/>
  <c r="G83" i="1"/>
  <c r="G84" i="1"/>
  <c r="G99" i="1"/>
  <c r="G232" i="1"/>
  <c r="G243" i="1"/>
  <c r="G251" i="1"/>
  <c r="G85" i="1"/>
  <c r="G89" i="1"/>
  <c r="G233" i="1"/>
  <c r="G244" i="1"/>
  <c r="G252" i="1"/>
  <c r="G557" i="1"/>
  <c r="G560" i="1"/>
  <c r="G219" i="1"/>
  <c r="G70" i="1"/>
  <c r="G76" i="1"/>
  <c r="G10" i="1"/>
  <c r="G512" i="1"/>
  <c r="G518" i="1"/>
  <c r="G481" i="1"/>
  <c r="G484" i="1"/>
  <c r="G488" i="1"/>
  <c r="G495" i="1"/>
  <c r="G513" i="1"/>
  <c r="G77" i="1"/>
  <c r="G567" i="1"/>
  <c r="G71" i="1"/>
  <c r="G26" i="1"/>
  <c r="G90" i="1"/>
  <c r="G277" i="1"/>
  <c r="G476" i="1"/>
  <c r="G166" i="1"/>
  <c r="G432" i="1"/>
  <c r="G125" i="1"/>
  <c r="G138" i="1"/>
  <c r="G508" i="1"/>
  <c r="G514" i="1"/>
  <c r="G519" i="1"/>
  <c r="G524" i="1"/>
  <c r="G527" i="1"/>
  <c r="G554" i="1"/>
  <c r="G547" i="1"/>
  <c r="G100" i="1"/>
  <c r="G126" i="1"/>
  <c r="G91" i="1"/>
  <c r="G493" i="1"/>
  <c r="G536" i="1"/>
  <c r="G151" i="1"/>
  <c r="G167" i="1"/>
  <c r="G374" i="1"/>
  <c r="G561" i="1"/>
  <c r="G550" i="1"/>
  <c r="G351" i="1"/>
  <c r="G352" i="1"/>
  <c r="G92" i="1"/>
  <c r="G342" i="1"/>
  <c r="G417" i="1"/>
  <c r="G353" i="1"/>
  <c r="G496" i="1"/>
  <c r="G86" i="1"/>
  <c r="G418" i="1"/>
  <c r="G426" i="1"/>
  <c r="G433" i="1"/>
  <c r="G303" i="1"/>
  <c r="G253" i="1"/>
  <c r="G245" i="1"/>
  <c r="G501" i="1"/>
  <c r="G502" i="1"/>
  <c r="G317" i="1"/>
  <c r="G220" i="1"/>
  <c r="G78" i="1"/>
  <c r="G318" i="1"/>
  <c r="G11" i="1"/>
  <c r="G16" i="1"/>
  <c r="G20" i="1"/>
  <c r="G27" i="1"/>
  <c r="G34" i="1"/>
  <c r="G41" i="1"/>
  <c r="G50" i="1"/>
  <c r="G404" i="1"/>
  <c r="G411" i="1"/>
  <c r="G419" i="1"/>
  <c r="G28" i="1"/>
  <c r="G35" i="1"/>
  <c r="G42" i="1"/>
  <c r="G51" i="1"/>
  <c r="G168" i="1"/>
  <c r="G185" i="1"/>
  <c r="G278" i="1"/>
  <c r="G259" i="1"/>
  <c r="G363" i="1"/>
  <c r="G375" i="1"/>
  <c r="G489" i="1"/>
  <c r="G460" i="1"/>
  <c r="G540" i="1"/>
  <c r="G544" i="1"/>
  <c r="G394" i="1"/>
  <c r="G405" i="1"/>
  <c r="G412" i="1"/>
  <c r="G420" i="1"/>
  <c r="G548" i="1"/>
  <c r="G101" i="1"/>
  <c r="G110" i="1"/>
  <c r="G127" i="1"/>
  <c r="G139" i="1"/>
  <c r="G186" i="1"/>
  <c r="G421" i="1"/>
  <c r="G79" i="1"/>
  <c r="G441" i="1"/>
  <c r="G221" i="1"/>
  <c r="G477" i="1"/>
  <c r="G80" i="1"/>
  <c r="G87" i="1"/>
  <c r="G93" i="1"/>
  <c r="G111" i="1"/>
  <c r="G112" i="1"/>
  <c r="G541" i="1"/>
  <c r="G52" i="1"/>
  <c r="G187" i="1"/>
  <c r="G292" i="1"/>
  <c r="G72" i="1"/>
  <c r="G453" i="1"/>
  <c r="G422" i="1"/>
  <c r="G268" i="1"/>
  <c r="G279" i="1"/>
  <c r="G188" i="1"/>
  <c r="G515" i="1"/>
  <c r="G520" i="1"/>
  <c r="G525" i="1"/>
  <c r="G140" i="1"/>
  <c r="G189" i="1"/>
  <c r="G73" i="1"/>
  <c r="G427" i="1"/>
  <c r="G521" i="1"/>
  <c r="G461" i="1"/>
  <c r="G569" i="1"/>
  <c r="G102" i="1"/>
  <c r="G113" i="1"/>
  <c r="G128" i="1"/>
  <c r="G141" i="1"/>
  <c r="G152" i="1"/>
  <c r="G53" i="1"/>
  <c r="G293" i="1"/>
  <c r="G304" i="1"/>
  <c r="G313" i="1"/>
  <c r="G319" i="1"/>
  <c r="G54" i="1"/>
  <c r="G434" i="1"/>
  <c r="G190" i="1"/>
  <c r="G191" i="1"/>
  <c r="G192" i="1"/>
  <c r="G193" i="1"/>
  <c r="G497" i="1"/>
  <c r="G564" i="1"/>
  <c r="G565" i="1"/>
  <c r="G194" i="1"/>
  <c r="G320" i="1"/>
  <c r="G55" i="1"/>
  <c r="G56" i="1"/>
  <c r="G195" i="1"/>
  <c r="G196" i="1"/>
  <c r="G321" i="1"/>
  <c r="G322" i="1"/>
  <c r="G197" i="1"/>
  <c r="G323" i="1"/>
  <c r="G198" i="1"/>
  <c r="G435" i="1"/>
  <c r="G57" i="1"/>
  <c r="G498" i="1"/>
  <c r="G58" i="1"/>
  <c r="G199" i="1"/>
  <c r="G59" i="1"/>
  <c r="G200" i="1"/>
  <c r="G324" i="1"/>
  <c r="G201" i="1"/>
  <c r="G202" i="1"/>
  <c r="G60" i="1"/>
  <c r="G203" i="1"/>
  <c r="G61" i="1"/>
  <c r="G538" i="1"/>
  <c r="G204" i="1"/>
  <c r="G205" i="1"/>
  <c r="G206" i="1"/>
  <c r="G207" i="1"/>
  <c r="G208" i="1"/>
  <c r="G209" i="1"/>
  <c r="G210" i="1"/>
  <c r="G594" i="1"/>
  <c r="G499" i="1"/>
  <c r="G325" i="1"/>
  <c r="G62" i="1"/>
  <c r="G211" i="1"/>
  <c r="G436" i="1"/>
  <c r="G326" i="1"/>
  <c r="G327" i="1"/>
  <c r="G328" i="1"/>
  <c r="J280" i="1"/>
  <c r="J354" i="1"/>
  <c r="J305" i="1"/>
  <c r="J294" i="1"/>
  <c r="J169" i="1"/>
  <c r="J509" i="1"/>
  <c r="J260" i="1"/>
  <c r="J295" i="1"/>
  <c r="J306" i="1"/>
  <c r="J406" i="1"/>
  <c r="J413" i="1"/>
  <c r="J343" i="1"/>
  <c r="J355" i="1"/>
  <c r="J490" i="1"/>
  <c r="J329" i="1"/>
  <c r="J482" i="1"/>
  <c r="J395" i="1"/>
  <c r="J528" i="1"/>
  <c r="J478" i="1"/>
  <c r="J129" i="1"/>
  <c r="J385" i="1"/>
  <c r="J396" i="1"/>
  <c r="J595" i="1"/>
  <c r="J397" i="1"/>
  <c r="J551" i="1"/>
  <c r="J330" i="1"/>
  <c r="J296" i="1"/>
  <c r="J568" i="1"/>
  <c r="J398" i="1"/>
  <c r="J399" i="1"/>
  <c r="J88" i="1"/>
  <c r="J222" i="1"/>
  <c r="J153" i="1"/>
  <c r="J170" i="1"/>
  <c r="J114" i="1"/>
  <c r="J269" i="1"/>
  <c r="J281" i="1"/>
  <c r="J282" i="1"/>
  <c r="J331" i="1"/>
  <c r="J442" i="1"/>
  <c r="J29" i="1"/>
  <c r="J43" i="1"/>
  <c r="J81" i="1"/>
  <c r="J407" i="1"/>
  <c r="J171" i="1"/>
  <c r="J469" i="1"/>
  <c r="J223" i="1"/>
  <c r="J234" i="1"/>
  <c r="J246" i="1"/>
  <c r="J283" i="1"/>
  <c r="J212" i="1"/>
  <c r="J224" i="1"/>
  <c r="J235" i="1"/>
  <c r="J558" i="1"/>
  <c r="J115" i="1"/>
  <c r="J116" i="1"/>
  <c r="J344" i="1"/>
  <c r="J356" i="1"/>
  <c r="J94" i="1"/>
  <c r="J522" i="1"/>
  <c r="J332" i="1"/>
  <c r="J542" i="1"/>
  <c r="J570" i="1"/>
  <c r="J117" i="1"/>
  <c r="J130" i="1"/>
  <c r="J142" i="1"/>
  <c r="J154" i="1"/>
  <c r="J345" i="1"/>
  <c r="J346" i="1"/>
  <c r="J462" i="1"/>
  <c r="J470" i="1"/>
  <c r="J95" i="1"/>
  <c r="J63" i="1"/>
  <c r="J103" i="1"/>
  <c r="J428" i="1"/>
  <c r="J376" i="1"/>
  <c r="J386" i="1"/>
  <c r="J471" i="1"/>
  <c r="J333" i="1"/>
  <c r="J254" i="1"/>
  <c r="J64" i="1"/>
  <c r="J36" i="1"/>
  <c r="J30" i="1"/>
  <c r="J37" i="1"/>
  <c r="J44" i="1"/>
  <c r="J45" i="1"/>
  <c r="J46" i="1"/>
  <c r="J38" i="1"/>
  <c r="J131" i="1"/>
  <c r="J400" i="1"/>
  <c r="J443" i="1"/>
  <c r="J437" i="1"/>
  <c r="J539" i="1"/>
  <c r="J449" i="1"/>
  <c r="J454" i="1"/>
  <c r="J213" i="1"/>
  <c r="J214" i="1"/>
  <c r="J307" i="1"/>
  <c r="J314" i="1"/>
  <c r="J270" i="1"/>
  <c r="J408" i="1"/>
  <c r="J423" i="1"/>
  <c r="J284" i="1"/>
  <c r="J533" i="1"/>
  <c r="J516" i="1"/>
  <c r="J455" i="1"/>
  <c r="J598" i="1"/>
  <c r="J599" i="1"/>
  <c r="J456" i="1"/>
  <c r="J573" i="1"/>
  <c r="J261" i="1"/>
  <c r="J271" i="1"/>
  <c r="J285" i="1"/>
  <c r="J297" i="1"/>
  <c r="J308" i="1"/>
  <c r="J503" i="1"/>
  <c r="J262" i="1"/>
  <c r="J504" i="1"/>
  <c r="J357" i="1"/>
  <c r="J364" i="1"/>
  <c r="J377" i="1"/>
  <c r="J444" i="1"/>
  <c r="J378" i="1"/>
  <c r="J118" i="1"/>
  <c r="J132" i="1"/>
  <c r="J143" i="1"/>
  <c r="J155" i="1"/>
  <c r="J172" i="1"/>
  <c r="J429" i="1"/>
  <c r="J424" i="1"/>
  <c r="J430" i="1"/>
  <c r="J334" i="1"/>
  <c r="J600" i="1"/>
  <c r="J82" i="1"/>
  <c r="J335" i="1"/>
  <c r="J584" i="1"/>
  <c r="J586" i="1"/>
  <c r="J588" i="1"/>
  <c r="J431" i="1"/>
  <c r="J438" i="1"/>
  <c r="J445" i="1"/>
  <c r="J450" i="1"/>
  <c r="J457" i="1"/>
  <c r="J144" i="1"/>
  <c r="J156" i="1"/>
  <c r="J173" i="1"/>
  <c r="J3" i="1"/>
  <c r="J6" i="1"/>
  <c r="J387" i="1"/>
  <c r="J529" i="1"/>
  <c r="J174" i="1"/>
  <c r="J21" i="1"/>
  <c r="J96" i="1"/>
  <c r="J22" i="1"/>
  <c r="J591" i="1"/>
  <c r="J47" i="1"/>
  <c r="J31" i="1"/>
  <c r="J23" i="1"/>
  <c r="J272" i="1"/>
  <c r="J133" i="1"/>
  <c r="J65" i="1"/>
  <c r="J236" i="1"/>
  <c r="J247" i="1"/>
  <c r="J530" i="1"/>
  <c r="J531" i="1"/>
  <c r="J157" i="1"/>
  <c r="J263" i="1"/>
  <c r="J273" i="1"/>
  <c r="J286" i="1"/>
  <c r="J298" i="1"/>
  <c r="J309" i="1"/>
  <c r="J562" i="1"/>
  <c r="J97" i="1"/>
  <c r="J104" i="1"/>
  <c r="J17" i="1"/>
  <c r="J255" i="1"/>
  <c r="J175" i="1"/>
  <c r="J336" i="1"/>
  <c r="J145" i="1"/>
  <c r="J176" i="1"/>
  <c r="J553" i="1"/>
  <c r="J510" i="1"/>
  <c r="J576" i="1"/>
  <c r="J358" i="1"/>
  <c r="J537" i="1"/>
  <c r="J534" i="1"/>
  <c r="J177" i="1"/>
  <c r="J2" i="1"/>
  <c r="J4" i="1"/>
  <c r="J7" i="1"/>
  <c r="J12" i="1"/>
  <c r="J18" i="1"/>
  <c r="J24" i="1"/>
  <c r="J388" i="1"/>
  <c r="J463" i="1"/>
  <c r="J414" i="1"/>
  <c r="J464" i="1"/>
  <c r="J365" i="1"/>
  <c r="J237" i="1"/>
  <c r="J248" i="1"/>
  <c r="J389" i="1"/>
  <c r="J401" i="1"/>
  <c r="J134" i="1"/>
  <c r="J158" i="1"/>
  <c r="J465" i="1"/>
  <c r="J472" i="1"/>
  <c r="J479" i="1"/>
  <c r="J39" i="1"/>
  <c r="J379" i="1"/>
  <c r="J390" i="1"/>
  <c r="J402" i="1"/>
  <c r="J409" i="1"/>
  <c r="J415" i="1"/>
  <c r="J466" i="1"/>
  <c r="J485" i="1"/>
  <c r="J535" i="1"/>
  <c r="J66" i="1"/>
  <c r="J446" i="1"/>
  <c r="J574" i="1"/>
  <c r="J13" i="1"/>
  <c r="J491" i="1"/>
  <c r="J473" i="1"/>
  <c r="J571" i="1"/>
  <c r="J105" i="1"/>
  <c r="J119" i="1"/>
  <c r="J159" i="1"/>
  <c r="J474" i="1"/>
  <c r="J299" i="1"/>
  <c r="J67" i="1"/>
  <c r="J287" i="1"/>
  <c r="J300" i="1"/>
  <c r="J310" i="1"/>
  <c r="J532" i="1"/>
  <c r="J391" i="1"/>
  <c r="J403" i="1"/>
  <c r="J410" i="1"/>
  <c r="J447" i="1"/>
  <c r="J451" i="1"/>
  <c r="J458" i="1"/>
  <c r="J178" i="1"/>
  <c r="J179" i="1"/>
  <c r="J337" i="1"/>
  <c r="J288" i="1"/>
  <c r="J366" i="1"/>
  <c r="J32" i="1"/>
  <c r="J5" i="1"/>
  <c r="J8" i="1"/>
  <c r="J14" i="1"/>
  <c r="J19" i="1"/>
  <c r="J25" i="1"/>
  <c r="J33" i="1"/>
  <c r="J40" i="1"/>
  <c r="J48" i="1"/>
  <c r="J120" i="1"/>
  <c r="J566" i="1"/>
  <c r="J359" i="1"/>
  <c r="J367" i="1"/>
  <c r="J486" i="1"/>
  <c r="J555" i="1"/>
  <c r="J392" i="1"/>
  <c r="J338" i="1"/>
  <c r="J347" i="1"/>
  <c r="J311" i="1"/>
  <c r="J315" i="1"/>
  <c r="J74" i="1"/>
  <c r="J146" i="1"/>
  <c r="J160" i="1"/>
  <c r="J180" i="1"/>
  <c r="J289" i="1"/>
  <c r="J549" i="1"/>
  <c r="J552" i="1"/>
  <c r="J439" i="1"/>
  <c r="J448" i="1"/>
  <c r="J452" i="1"/>
  <c r="J459" i="1"/>
  <c r="J467" i="1"/>
  <c r="J475" i="1"/>
  <c r="J480" i="1"/>
  <c r="J483" i="1"/>
  <c r="J487" i="1"/>
  <c r="J492" i="1"/>
  <c r="J147" i="1"/>
  <c r="J368" i="1"/>
  <c r="J380" i="1"/>
  <c r="J225" i="1"/>
  <c r="J238" i="1"/>
  <c r="J416" i="1"/>
  <c r="J425" i="1"/>
  <c r="J9" i="1"/>
  <c r="J15" i="1"/>
  <c r="J161" i="1"/>
  <c r="J181" i="1"/>
  <c r="J348" i="1"/>
  <c r="J162" i="1"/>
  <c r="J182" i="1"/>
  <c r="J274" i="1"/>
  <c r="J226" i="1"/>
  <c r="J163" i="1"/>
  <c r="J577" i="1"/>
  <c r="J215" i="1"/>
  <c r="J381" i="1"/>
  <c r="J360" i="1"/>
  <c r="J369" i="1"/>
  <c r="J49" i="1"/>
  <c r="J580" i="1"/>
  <c r="J582" i="1"/>
  <c r="J583" i="1"/>
  <c r="J585" i="1"/>
  <c r="J587" i="1"/>
  <c r="J589" i="1"/>
  <c r="J590" i="1"/>
  <c r="J592" i="1"/>
  <c r="J593" i="1"/>
  <c r="J440" i="1"/>
  <c r="J349" i="1"/>
  <c r="J468" i="1"/>
  <c r="J505" i="1"/>
  <c r="J511" i="1"/>
  <c r="J545" i="1"/>
  <c r="J546" i="1"/>
  <c r="J227" i="1"/>
  <c r="J239" i="1"/>
  <c r="J249" i="1"/>
  <c r="J256" i="1"/>
  <c r="J264" i="1"/>
  <c r="J121" i="1"/>
  <c r="J135" i="1"/>
  <c r="J148" i="1"/>
  <c r="J164" i="1"/>
  <c r="J183" i="1"/>
  <c r="J68" i="1"/>
  <c r="J339" i="1"/>
  <c r="J361" i="1"/>
  <c r="J370" i="1"/>
  <c r="J382" i="1"/>
  <c r="J275" i="1"/>
  <c r="J290" i="1"/>
  <c r="J301" i="1"/>
  <c r="J265" i="1"/>
  <c r="J371" i="1"/>
  <c r="J228" i="1"/>
  <c r="J240" i="1"/>
  <c r="J229" i="1"/>
  <c r="J106" i="1"/>
  <c r="J572" i="1"/>
  <c r="J184" i="1"/>
  <c r="J216" i="1"/>
  <c r="J383" i="1"/>
  <c r="J393" i="1"/>
  <c r="J107" i="1"/>
  <c r="J122" i="1"/>
  <c r="J108" i="1"/>
  <c r="J123" i="1"/>
  <c r="J601" i="1"/>
  <c r="J241" i="1"/>
  <c r="J559" i="1"/>
  <c r="J563" i="1"/>
  <c r="J543" i="1"/>
  <c r="J136" i="1"/>
  <c r="J506" i="1"/>
  <c r="J98" i="1"/>
  <c r="J109" i="1"/>
  <c r="J124" i="1"/>
  <c r="J575" i="1"/>
  <c r="J581" i="1"/>
  <c r="J250" i="1"/>
  <c r="J257" i="1"/>
  <c r="J266" i="1"/>
  <c r="J267" i="1"/>
  <c r="J340" i="1"/>
  <c r="J350" i="1"/>
  <c r="J362" i="1"/>
  <c r="J372" i="1"/>
  <c r="J384" i="1"/>
  <c r="J341" i="1"/>
  <c r="J258" i="1"/>
  <c r="J276" i="1"/>
  <c r="J291" i="1"/>
  <c r="J302" i="1"/>
  <c r="J312" i="1"/>
  <c r="J316" i="1"/>
  <c r="J149" i="1"/>
  <c r="J578" i="1"/>
  <c r="J579" i="1"/>
  <c r="J230" i="1"/>
  <c r="J242" i="1"/>
  <c r="J231" i="1"/>
  <c r="J217" i="1"/>
  <c r="J500" i="1"/>
  <c r="J507" i="1"/>
  <c r="J137" i="1"/>
  <c r="J150" i="1"/>
  <c r="J596" i="1"/>
  <c r="J597" i="1"/>
  <c r="J517" i="1"/>
  <c r="J523" i="1"/>
  <c r="J526" i="1"/>
  <c r="J494" i="1"/>
  <c r="J218" i="1"/>
  <c r="J556" i="1"/>
  <c r="J373" i="1"/>
  <c r="J165" i="1"/>
  <c r="J69" i="1"/>
  <c r="J75" i="1"/>
  <c r="J83" i="1"/>
  <c r="J84" i="1"/>
  <c r="J99" i="1"/>
  <c r="J232" i="1"/>
  <c r="J243" i="1"/>
  <c r="J251" i="1"/>
  <c r="J85" i="1"/>
  <c r="J89" i="1"/>
  <c r="J233" i="1"/>
  <c r="J244" i="1"/>
  <c r="J252" i="1"/>
  <c r="J557" i="1"/>
  <c r="J560" i="1"/>
  <c r="J219" i="1"/>
  <c r="J70" i="1"/>
  <c r="J76" i="1"/>
  <c r="J10" i="1"/>
  <c r="J512" i="1"/>
  <c r="J518" i="1"/>
  <c r="J481" i="1"/>
  <c r="J484" i="1"/>
  <c r="J488" i="1"/>
  <c r="J495" i="1"/>
  <c r="J513" i="1"/>
  <c r="J77" i="1"/>
  <c r="J567" i="1"/>
  <c r="J71" i="1"/>
  <c r="J26" i="1"/>
  <c r="J90" i="1"/>
  <c r="J277" i="1"/>
  <c r="J476" i="1"/>
  <c r="J166" i="1"/>
  <c r="J432" i="1"/>
  <c r="J125" i="1"/>
  <c r="J138" i="1"/>
  <c r="J508" i="1"/>
  <c r="J514" i="1"/>
  <c r="J519" i="1"/>
  <c r="J524" i="1"/>
  <c r="J527" i="1"/>
  <c r="J554" i="1"/>
  <c r="J547" i="1"/>
  <c r="J100" i="1"/>
  <c r="J126" i="1"/>
  <c r="J91" i="1"/>
  <c r="J493" i="1"/>
  <c r="J536" i="1"/>
  <c r="J151" i="1"/>
  <c r="J167" i="1"/>
  <c r="J374" i="1"/>
  <c r="J561" i="1"/>
  <c r="J550" i="1"/>
  <c r="J351" i="1"/>
  <c r="J352" i="1"/>
  <c r="J92" i="1"/>
  <c r="J342" i="1"/>
  <c r="J417" i="1"/>
  <c r="J353" i="1"/>
  <c r="J496" i="1"/>
  <c r="J86" i="1"/>
  <c r="J418" i="1"/>
  <c r="J426" i="1"/>
  <c r="J433" i="1"/>
  <c r="J303" i="1"/>
  <c r="J253" i="1"/>
  <c r="J245" i="1"/>
  <c r="J501" i="1"/>
  <c r="J502" i="1"/>
  <c r="J317" i="1"/>
  <c r="J220" i="1"/>
  <c r="J78" i="1"/>
  <c r="J318" i="1"/>
  <c r="J11" i="1"/>
  <c r="J16" i="1"/>
  <c r="J20" i="1"/>
  <c r="J27" i="1"/>
  <c r="J34" i="1"/>
  <c r="J41" i="1"/>
  <c r="J50" i="1"/>
  <c r="J404" i="1"/>
  <c r="J411" i="1"/>
  <c r="J419" i="1"/>
  <c r="J28" i="1"/>
  <c r="J35" i="1"/>
  <c r="J42" i="1"/>
  <c r="J51" i="1"/>
  <c r="J168" i="1"/>
  <c r="J185" i="1"/>
  <c r="J278" i="1"/>
  <c r="J259" i="1"/>
  <c r="J363" i="1"/>
  <c r="J375" i="1"/>
  <c r="J489" i="1"/>
  <c r="J460" i="1"/>
  <c r="J540" i="1"/>
  <c r="J544" i="1"/>
  <c r="J394" i="1"/>
  <c r="J405" i="1"/>
  <c r="J412" i="1"/>
  <c r="J420" i="1"/>
  <c r="J548" i="1"/>
  <c r="J101" i="1"/>
  <c r="J110" i="1"/>
  <c r="J127" i="1"/>
  <c r="J139" i="1"/>
  <c r="J186" i="1"/>
  <c r="J421" i="1"/>
  <c r="J79" i="1"/>
  <c r="J441" i="1"/>
  <c r="J221" i="1"/>
  <c r="J477" i="1"/>
  <c r="J80" i="1"/>
  <c r="J87" i="1"/>
  <c r="J93" i="1"/>
  <c r="J111" i="1"/>
  <c r="J112" i="1"/>
  <c r="J541" i="1"/>
  <c r="J52" i="1"/>
  <c r="J187" i="1"/>
  <c r="J292" i="1"/>
  <c r="J72" i="1"/>
  <c r="J453" i="1"/>
  <c r="J422" i="1"/>
  <c r="J268" i="1"/>
  <c r="J279" i="1"/>
  <c r="J188" i="1"/>
  <c r="J515" i="1"/>
  <c r="J520" i="1"/>
  <c r="J525" i="1"/>
  <c r="J140" i="1"/>
  <c r="J189" i="1"/>
  <c r="J73" i="1"/>
  <c r="J427" i="1"/>
  <c r="J521" i="1"/>
  <c r="J461" i="1"/>
  <c r="J569" i="1"/>
  <c r="J102" i="1"/>
  <c r="J113" i="1"/>
  <c r="J128" i="1"/>
  <c r="J141" i="1"/>
  <c r="J152" i="1"/>
  <c r="J53" i="1"/>
  <c r="J293" i="1"/>
  <c r="J304" i="1"/>
  <c r="J313" i="1"/>
  <c r="J319" i="1"/>
  <c r="J54" i="1"/>
  <c r="J434" i="1"/>
  <c r="J190" i="1"/>
  <c r="J191" i="1"/>
  <c r="J192" i="1"/>
  <c r="J193" i="1"/>
  <c r="J497" i="1"/>
  <c r="J564" i="1"/>
  <c r="J565" i="1"/>
  <c r="J194" i="1"/>
  <c r="J320" i="1"/>
  <c r="J55" i="1"/>
  <c r="J56" i="1"/>
  <c r="J195" i="1"/>
  <c r="J196" i="1"/>
  <c r="J321" i="1"/>
  <c r="J322" i="1"/>
  <c r="J197" i="1"/>
  <c r="J323" i="1"/>
  <c r="J198" i="1"/>
  <c r="J435" i="1"/>
  <c r="J57" i="1"/>
  <c r="J498" i="1"/>
  <c r="J58" i="1"/>
  <c r="J199" i="1"/>
  <c r="J59" i="1"/>
  <c r="J200" i="1"/>
  <c r="J324" i="1"/>
  <c r="J201" i="1"/>
  <c r="J202" i="1"/>
  <c r="J60" i="1"/>
  <c r="J203" i="1"/>
  <c r="J61" i="1"/>
  <c r="J538" i="1"/>
  <c r="J204" i="1"/>
  <c r="J205" i="1"/>
  <c r="J206" i="1"/>
  <c r="J207" i="1"/>
  <c r="J208" i="1"/>
  <c r="J209" i="1"/>
  <c r="J210" i="1"/>
  <c r="J594" i="1"/>
  <c r="J499" i="1"/>
  <c r="J325" i="1"/>
  <c r="J62" i="1"/>
  <c r="J211" i="1"/>
  <c r="J436" i="1"/>
  <c r="J326" i="1"/>
  <c r="J327" i="1"/>
  <c r="J3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447D99-BE4A-455D-8BB1-AA7C1B91273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3D076B05-4466-4B55-8A5C-DBB13761D74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<sst xmlns="http://schemas.openxmlformats.org/spreadsheetml/2006/main" count="3643" uniqueCount="701">
  <si>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</si>
  <si>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</si>
  <si>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</si>
  <si>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</si>
  <si>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</si>
  <si>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</si>
  <si>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</si>
  <si>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</si>
  <si>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</si>
  <si>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</si>
  <si>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</si>
  <si>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</si>
  <si>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</si>
  <si>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</si>
  <si>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</si>
  <si>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</si>
  <si>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</si>
  <si>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</si>
  <si>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</si>
  <si>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</si>
  <si>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</si>
  <si>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</si>
  <si>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</si>
  <si>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</si>
  <si>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</si>
  <si>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</si>
  <si>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</si>
  <si>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</si>
  <si>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</si>
  <si>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</si>
  <si>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</si>
  <si>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</si>
  <si>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</si>
  <si>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</si>
  <si>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</si>
  <si>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</si>
  <si>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</si>
  <si>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</si>
  <si>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</si>
  <si>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</si>
  <si>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Paisleyâ€¦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</si>
  <si>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</si>
  <si>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</si>
  <si>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</si>
  <si>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</si>
  <si>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</si>
  <si>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</si>
  <si>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</si>
  <si>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</si>
  <si>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</si>
  <si>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</si>
  <si>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</si>
  <si>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</si>
  <si>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</si>
  <si>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</si>
  <si>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</si>
  <si>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</si>
  <si>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</si>
  <si>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</si>
  <si>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</si>
  <si>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</si>
  <si>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</si>
  <si>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</si>
  <si>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</si>
  <si>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</si>
  <si>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</si>
  <si>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</si>
  <si>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</si>
  <si>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</si>
  <si>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</si>
  <si>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</si>
  <si>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</si>
  <si>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</si>
  <si>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</si>
  <si>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</si>
  <si>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</si>
  <si>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</si>
  <si>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</si>
  <si>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</si>
  <si>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</si>
  <si>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</si>
  <si>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</si>
  <si>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</si>
  <si>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</si>
  <si>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</si>
  <si>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</si>
  <si>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</si>
  <si>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</si>
  <si>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</si>
  <si>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</si>
  <si>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</si>
  <si>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</si>
  <si>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</si>
  <si>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</si>
  <si>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</si>
  <si>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</si>
  <si>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</si>
  <si>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</si>
  <si>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</si>
  <si>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</si>
  <si>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</si>
  <si>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</si>
  <si>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</si>
  <si>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</si>
  <si>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</si>
  <si>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</si>
  <si>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</si>
  <si>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</si>
  <si>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</si>
  <si>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</si>
  <si>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</si>
  <si>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</si>
  <si>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</si>
  <si>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</si>
  <si>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</si>
  <si>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</si>
  <si>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</si>
  <si>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</si>
  <si>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</si>
  <si>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</si>
  <si>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</si>
  <si>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</si>
  <si>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Allâ€¦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</si>
  <si>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</si>
  <si>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</si>
  <si>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</si>
  <si>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</si>
  <si>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</si>
  <si>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</si>
  <si>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</si>
  <si>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</si>
  <si>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</si>
  <si>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</si>
  <si>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</si>
  <si>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</si>
  <si>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</si>
  <si>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</si>
  <si>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</si>
  <si>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</si>
  <si>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</si>
  <si>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</si>
  <si>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</si>
  <si>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</si>
  <si>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</si>
  <si>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</si>
  <si>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</si>
  <si>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</si>
  <si>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Printsâ€¦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</si>
  <si>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</si>
  <si>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</si>
  <si>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</si>
  <si>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</si>
  <si>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</si>
  <si>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</si>
  <si>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</si>
  <si>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</si>
  <si>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</si>
  <si>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</si>
  <si>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</si>
  <si>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</si>
  <si>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</si>
  <si>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</si>
  <si>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</si>
  <si>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</si>
  <si>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</si>
  <si>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</si>
  <si>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</si>
  <si>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</si>
  <si>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</si>
  <si>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</si>
  <si>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</si>
  <si>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</si>
  <si>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</si>
  <si>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</si>
  <si>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</si>
  <si>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</si>
  <si>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</si>
  <si>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</si>
  <si>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</si>
  <si>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</si>
  <si>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</si>
  <si>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</si>
  <si>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</si>
  <si>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</si>
  <si>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</si>
  <si>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</si>
  <si>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</si>
  <si>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</si>
  <si>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</si>
  <si>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</si>
  <si>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</si>
  <si>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</si>
  <si>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</si>
  <si>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</si>
  <si>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</si>
  <si>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</si>
  <si>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</si>
  <si>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</si>
  <si>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</si>
  <si>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</si>
  <si>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</si>
  <si>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</si>
  <si>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</si>
  <si>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</si>
  <si>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</si>
  <si>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</si>
  <si>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</si>
  <si>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</si>
  <si>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</si>
  <si>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</si>
  <si>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</si>
  <si>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</si>
  <si>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</si>
  <si>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</si>
  <si>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</si>
  <si>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</si>
  <si>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</si>
  <si>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</si>
  <si>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</si>
  <si>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</si>
  <si>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</si>
  <si>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</si>
  <si>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</si>
  <si>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</si>
  <si>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</si>
  <si>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</si>
  <si>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</si>
  <si>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</si>
  <si>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</si>
  <si>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</si>
  <si>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</si>
  <si>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</si>
  <si>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</si>
  <si>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</si>
  <si>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</si>
  <si>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</si>
  <si>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</si>
  <si>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</si>
  <si>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</si>
  <si>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</si>
  <si>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</si>
  <si>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</si>
  <si>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</si>
  <si>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</si>
  <si>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</si>
  <si>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</si>
  <si>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</si>
  <si>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Healthyâ€¦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</si>
  <si>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</si>
  <si>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</si>
  <si>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</si>
  <si>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</si>
  <si>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</si>
  <si>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</si>
  <si>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</si>
  <si>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</si>
  <si>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</si>
  <si>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</si>
  <si>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</si>
  <si>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</si>
  <si>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</si>
  <si>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</si>
  <si>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</si>
  <si>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</si>
  <si>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</si>
  <si>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</si>
  <si>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</si>
  <si>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</si>
  <si>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ChildrenÂ’s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</si>
  <si>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</si>
  <si>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</si>
  <si>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</si>
  <si>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</si>
  <si>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</si>
  <si>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</si>
  <si>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</si>
  <si>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</si>
  <si>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</si>
  <si>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</si>
  <si>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</si>
  <si>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</si>
  <si>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</si>
  <si>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</si>
  <si>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</si>
  <si>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</si>
  <si>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</si>
  <si>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</si>
  <si>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</si>
  <si>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</si>
  <si>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</si>
  <si>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</si>
  <si>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</si>
  <si>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</si>
  <si>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</si>
  <si>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</si>
  <si>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</si>
  <si>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</si>
  <si>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</si>
  <si>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</si>
  <si>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</si>
  <si>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</si>
  <si>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</si>
  <si>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</si>
  <si>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</si>
  <si>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</si>
  <si>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</si>
  <si>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</si>
  <si>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</si>
  <si>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</si>
  <si>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</si>
  <si>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</si>
  <si>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</si>
  <si>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</si>
  <si>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</si>
  <si>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</si>
  <si>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</si>
  <si>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</si>
  <si>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</si>
  <si>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</si>
  <si>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</si>
  <si>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</si>
  <si>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</si>
  <si>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</si>
  <si>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</si>
  <si>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</si>
  <si>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</si>
  <si>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</si>
  <si>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</si>
  <si>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</si>
  <si>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</si>
  <si>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</si>
  <si>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</si>
  <si>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</si>
  <si>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</si>
  <si>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</si>
  <si>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PokÃ©mon Deluxe Essential Handbook: The Need-to-Know Stats and Facts on Over 700 PokÃ©mon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</si>
  <si>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</si>
  <si>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</si>
  <si>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</si>
  <si>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</si>
  <si>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</si>
  <si>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</si>
  <si>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</si>
  <si>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</si>
  <si>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</si>
  <si>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</si>
  <si>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</si>
  <si>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</si>
  <si>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</si>
  <si>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</si>
  <si>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</si>
  <si>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</si>
  <si>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</si>
  <si>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</si>
  <si>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</si>
  <si>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Pre-Readingâ€¦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</si>
  <si>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</si>
  <si>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</si>
  <si>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</si>
  <si>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</si>
  <si>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</si>
  <si>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</si>
  <si>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</si>
  <si>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</si>
  <si>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</si>
  <si>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Spiritualâ€¦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</si>
  <si>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</si>
  <si>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</si>
  <si>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</si>
  <si>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</si>
  <si>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</si>
  <si>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</si>
  <si>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</si>
  <si>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</si>
  <si>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</si>
  <si>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</si>
  <si>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</si>
  <si>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</si>
  <si>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</si>
  <si>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</si>
  <si>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</si>
  <si>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</si>
  <si>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</si>
  <si>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</si>
  <si>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</si>
  <si>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</si>
  <si>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</si>
  <si>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</si>
  <si>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</si>
  <si>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</si>
  <si>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</si>
  <si>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</si>
  <si>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</si>
  <si>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</si>
  <si>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</si>
  <si>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</si>
  <si>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</si>
  <si>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</si>
  <si>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</si>
  <si>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</si>
  <si>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</si>
  <si>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</si>
  <si>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</si>
  <si>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</si>
  <si>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</si>
  <si>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</si>
  <si>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</si>
  <si>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</si>
  <si>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</si>
  <si>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</si>
  <si>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</si>
  <si>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</si>
  <si>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Dietâ€¦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</si>
  <si>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</si>
  <si>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</si>
  <si>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</si>
  <si>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</si>
  <si>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</si>
  <si>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ConstitutionalÂ…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</si>
  <si>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</si>
  <si>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</si>
  <si>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</si>
  <si>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</si>
  <si>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</si>
  <si>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</si>
  <si>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</si>
  <si>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</si>
  <si>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</si>
  <si>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</si>
  <si>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</si>
  <si>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</si>
  <si>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</si>
  <si>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</si>
  <si>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</si>
  <si>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</si>
  <si>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</si>
  <si>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</si>
  <si>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</si>
  <si>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</si>
  <si>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</si>
  <si>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</si>
  <si>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</si>
  <si>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</si>
  <si>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</si>
  <si>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</si>
  <si>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</si>
  <si>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</si>
  <si>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</si>
  <si>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</si>
  <si>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</si>
  <si>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</si>
  <si>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</si>
  <si>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</si>
  <si>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</si>
  <si>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</si>
  <si>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</si>
  <si>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</si>
  <si>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</si>
  <si>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</si>
  <si>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</si>
  <si>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</si>
  <si>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</si>
  <si>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</si>
  <si>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</si>
  <si>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</si>
  <si>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</si>
  <si>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</si>
  <si>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</si>
  <si>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</si>
  <si>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</si>
  <si>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</si>
  <si>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</si>
  <si>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</si>
  <si>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</si>
  <si>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KondÅ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</si>
  <si>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</si>
  <si>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</si>
  <si>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</si>
  <si>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</si>
  <si>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</si>
  <si>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</si>
  <si>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</si>
  <si>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</si>
  <si>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</si>
  <si>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</si>
  <si>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</si>
  <si>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</si>
  <si>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</si>
  <si>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</si>
  <si>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</si>
  <si>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</si>
  <si>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</si>
  <si>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</si>
  <si>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</si>
  <si>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</si>
  <si>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</si>
  <si>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</si>
  <si>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</si>
  <si>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</si>
  <si>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Solveâ€¦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</si>
  <si>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</si>
  <si>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</si>
  <si>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</si>
  <si>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</si>
  <si>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</si>
  <si>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</si>
  <si>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</si>
  <si>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</si>
  <si>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</si>
  <si>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</si>
  <si>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</si>
  <si>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</si>
  <si>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</si>
  <si>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</si>
  <si>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</si>
  <si>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</si>
  <si>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</si>
  <si>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</si>
  <si>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</si>
  <si>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</si>
  <si>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</si>
  <si>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</si>
  <si>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</si>
  <si>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</si>
  <si>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</si>
  <si>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</si>
  <si>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</si>
  <si>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</si>
  <si>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</si>
  <si>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</si>
  <si>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</si>
  <si>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</si>
  <si>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forâ€¦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</si>
  <si>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</si>
  <si>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</si>
  <si>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</si>
  <si>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</si>
  <si>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</si>
  <si>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</si>
  <si>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</si>
  <si>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</si>
  <si>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</si>
  <si>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</si>
  <si>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</si>
  <si>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</si>
  <si>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</si>
  <si>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</si>
  <si>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</si>
  <si>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</si>
  <si>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</si>
  <si>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</si>
  <si>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</si>
  <si>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</si>
  <si>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</si>
  <si>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</si>
  <si>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</si>
  <si>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</si>
  <si>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</si>
  <si>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</si>
  <si>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</si>
  <si>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</si>
  <si>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</si>
  <si>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</si>
  <si>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</si>
  <si>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</si>
  <si>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</si>
  <si>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</si>
  <si>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</si>
  <si>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</si>
  <si>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</si>
  <si>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</si>
  <si>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</si>
  <si>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</si>
  <si>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</si>
  <si>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</si>
  <si>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</si>
  <si>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</si>
  <si>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</si>
  <si>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</si>
  <si>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</si>
  <si>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</si>
  <si>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</si>
  <si>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</si>
  <si>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</si>
  <si>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</si>
  <si>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</si>
  <si>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</si>
  <si>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</si>
  <si>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</si>
  <si>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</si>
  <si>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</si>
  <si>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</si>
  <si>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</si>
  <si>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</si>
  <si>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</si>
  <si>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withÂ…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</si>
  <si>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</si>
  <si>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</si>
  <si>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</si>
  <si>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</si>
  <si>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</si>
  <si>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</si>
  <si>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</si>
  <si>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</si>
  <si>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</si>
  <si>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</si>
  <si>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</si>
  <si>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A Promised Land</t>
  </si>
  <si>
    <t>Barack Obama</t>
  </si>
  <si>
    <t>Too Much and Never Enough: How My Family Created the World's Most Dangerous Man</t>
  </si>
  <si>
    <t xml:space="preserve">Mary L. Trump Ph.D. </t>
  </si>
  <si>
    <t>My First Learn to Write Workbook</t>
  </si>
  <si>
    <t>Crystal Radke</t>
  </si>
  <si>
    <t>Midnight Sun</t>
  </si>
  <si>
    <t>Untamed</t>
  </si>
  <si>
    <t>Glennon Doyle</t>
  </si>
  <si>
    <t>White Fragility: Why It's So Hard for White People to Talk About Racism</t>
  </si>
  <si>
    <t>Robin DiAngelo</t>
  </si>
  <si>
    <t>The Room Where It Happened: A White House Memoir</t>
  </si>
  <si>
    <t>John Bolton</t>
  </si>
  <si>
    <t>The Ballad of Songbirds and Snakes</t>
  </si>
  <si>
    <t>Dog Man: Grime and Punishment</t>
  </si>
  <si>
    <t xml:space="preserve">Becoming </t>
  </si>
  <si>
    <t>How to Be an Antiracist</t>
  </si>
  <si>
    <t>Ibram X. Kendi</t>
  </si>
  <si>
    <t>The Four Agreements: A Practical Guide to Personal Freedom</t>
  </si>
  <si>
    <t xml:space="preserve">Don Miguel Ruiz </t>
  </si>
  <si>
    <t>Rage</t>
  </si>
  <si>
    <t>Caste (Oprah's Book Club): The Origins of Our Discontents</t>
  </si>
  <si>
    <t>Isabel Wilkerson</t>
  </si>
  <si>
    <t>Greenlights</t>
  </si>
  <si>
    <t>Matthew McConaughey</t>
  </si>
  <si>
    <t>American Dirt (Oprah's Book Club)</t>
  </si>
  <si>
    <t>Jeanine Cummins</t>
  </si>
  <si>
    <t>The Boy, the Mole, the Fox and the Horse</t>
  </si>
  <si>
    <t>Charlie Mackesy</t>
  </si>
  <si>
    <t>The Deep End (Diary of a Wimpy Kid Book 15)</t>
  </si>
  <si>
    <t>Atomic Habits: An Easy &amp; Proven Way to Build Good Habits &amp; Break Bad Ones</t>
  </si>
  <si>
    <t>James Clear</t>
  </si>
  <si>
    <t>I Love You to the Moon and Back</t>
  </si>
  <si>
    <t>Amelia Hepworth</t>
  </si>
  <si>
    <t>How to Catch a Mermaid</t>
  </si>
  <si>
    <t>Adam Wallace</t>
  </si>
  <si>
    <t>The Splendid and the Vile: A Saga of Churchill, Family, and Defiance During the Blitz</t>
  </si>
  <si>
    <t>Erik Larson</t>
  </si>
  <si>
    <t>How to Catch a Unicorn</t>
  </si>
  <si>
    <t xml:space="preserve"> Bill Martin Jr.</t>
  </si>
  <si>
    <t>Magnolia Table, Volume 2</t>
  </si>
  <si>
    <t>The Vanishing Half</t>
  </si>
  <si>
    <t>Brit Bennett</t>
  </si>
  <si>
    <t>Modern Comfort Food: A Barefoot Contessa Cookbook</t>
  </si>
  <si>
    <t>Prayer Journal for Women: 52 Week Scripture, Devotional &amp; Guided Prayer Journal</t>
  </si>
  <si>
    <t>Shannon Roberts</t>
  </si>
  <si>
    <t>Paint by Sticker Kids: Zoo Animals: Create 10 Pictures One Sticker at a Time!</t>
  </si>
  <si>
    <t xml:space="preserve"> Workman Publishing</t>
  </si>
  <si>
    <t>Paint by Sticker Kids: Unicorns &amp; Magic: Create 10 Pictures One Sticker at a Time! Includes Glitter Stickers</t>
  </si>
  <si>
    <t>What Should Danny Do?</t>
  </si>
  <si>
    <t>Wacky Waving Inflatable Tube Guy</t>
  </si>
  <si>
    <t xml:space="preserve">Conor Riordan </t>
  </si>
  <si>
    <t xml:space="preserve">The Silent Patient </t>
  </si>
  <si>
    <t>The Big Book of Silly Jokes for Kids</t>
  </si>
  <si>
    <t>Carole P. Roman</t>
  </si>
  <si>
    <t xml:space="preserve">Chicka Chicka Boom Boom </t>
  </si>
  <si>
    <t>Live Free Or Die: America (and the World) on the Brink</t>
  </si>
  <si>
    <t>Sean Hannity</t>
  </si>
  <si>
    <t>Burn After Writing</t>
  </si>
  <si>
    <t>Sharon Jones</t>
  </si>
  <si>
    <t>Get Out of Your Head: Stopping the Spiral of Toxic Thoughts</t>
  </si>
  <si>
    <t>Jennie Allen</t>
  </si>
  <si>
    <t>Human Body Activity Book for Kids: Hands-On Fun for Grades K-3</t>
  </si>
  <si>
    <t>Katie Stokes</t>
  </si>
  <si>
    <t xml:space="preserve"> Tara Westover </t>
  </si>
  <si>
    <t>Genere</t>
  </si>
  <si>
    <t>Total Books</t>
  </si>
  <si>
    <t>Grand Total</t>
  </si>
  <si>
    <t>Act Like a Lady, Think Like a Man: What Men Really Think About Love, Relationships, Intimacy, and Commitment</t>
  </si>
  <si>
    <t>First Word</t>
  </si>
  <si>
    <t>Price Category</t>
  </si>
  <si>
    <t>Rating Category</t>
  </si>
  <si>
    <t>Task</t>
  </si>
  <si>
    <t>Remove Duplicates</t>
  </si>
  <si>
    <t>COUNTBLANK</t>
  </si>
  <si>
    <t>IF Function</t>
  </si>
  <si>
    <t>ROUND</t>
  </si>
  <si>
    <t>Price Flag</t>
  </si>
  <si>
    <t>Sorting</t>
  </si>
  <si>
    <t>Sorted by Year (Ascending) and User Rating (Descending).</t>
  </si>
  <si>
    <t>Conditional Formatting</t>
  </si>
  <si>
    <t>Highlighted books with Reviews above 10,000.</t>
  </si>
  <si>
    <t>Text Formula</t>
  </si>
  <si>
    <t>Extracted the first word from the Name column.</t>
  </si>
  <si>
    <t>Summary Table</t>
  </si>
  <si>
    <t>Created a summary table showing total books by Genre.</t>
  </si>
  <si>
    <t>Observations</t>
  </si>
  <si>
    <t>There are no duplicates</t>
  </si>
  <si>
    <t>There are no Blank count</t>
  </si>
  <si>
    <t>Ratings were divided into three categories: excellent, good, and average.</t>
  </si>
  <si>
    <t>Ratings that are rounded to one decimal place.</t>
  </si>
  <si>
    <t>Books costing more than ten dollars were classified as high-priced.</t>
  </si>
  <si>
    <t>1. Most books are rated Excellent.
2. The dataset contains both Fiction and Non Fiction books.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</si>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</sst>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7" fillId="2" borderId="0" xfId="0" applyFont="1" applyFill="1"/>
    <xf numFmtId="0" fontId="7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NumberFormat="1"/>
    <xf numFmtId="0" fontId="8" fillId="2" borderId="0" xfId="0" applyFont="1" applyFill="1"/>
    <xf numFmtId="0" fontId="8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DE7FD52-5CD9-4495-B125-DA9FCD2C2377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Author" tableColumnId="2"/>
      <queryTableField id="3" name="User Rating" tableColumnId="3"/>
      <queryTableField id="4" name="Reviews" tableColumnId="4"/>
      <queryTableField id="5" name="Price" tableColumnId="5"/>
      <queryTableField id="6" name="Year" tableColumnId="6"/>
      <queryTableField id="7" name="Genr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1C2243-63FE-4403-A6A0-C2AA33A210E3}" name="Sheet1" displayName="Sheet1" ref="A1:G601" tableType="queryTable" totalsRowShown="0">
  <autoFilter ref="A1:G601" xr:uid="{791C2243-63FE-4403-A6A0-C2AA33A210E3}"/>
  <tableColumns count="7">
    <tableColumn id="1" xr3:uid="{B29BCF80-4DEB-4AC6-8C39-567B4F7F73E9}" uniqueName="1" name="Name" queryTableFieldId="1" dataDxfId="6"/>
    <tableColumn id="2" xr3:uid="{7F073D9E-18E0-46D3-B0B9-29735A8BE66E}" uniqueName="2" name="Author" queryTableFieldId="2" dataDxfId="5"/>
    <tableColumn id="3" xr3:uid="{A3944613-8536-4DDB-AA7C-CA58547EFCB0}" uniqueName="3" name="User Rating" queryTableFieldId="3"/>
    <tableColumn id="4" xr3:uid="{3A0539FD-ADDD-4E2D-8930-47F5C016300A}" uniqueName="4" name="Reviews" queryTableFieldId="4"/>
    <tableColumn id="5" xr3:uid="{714D4699-2E95-4459-B858-9ACFFDE7CB39}" uniqueName="5" name="Price" queryTableFieldId="5"/>
    <tableColumn id="6" xr3:uid="{021AFD54-E7DB-4969-8418-EB942BE6FE83}" uniqueName="6" name="Year" queryTableFieldId="6"/>
    <tableColumn id="7" xr3:uid="{BEFD5CD6-BAAF-411D-B502-7F6AED866437}" uniqueName="7" name="Genre" queryTableFieldId="7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764DE-FC30-4FB4-AECA-9D156A6926BE}" name="Table1" displayName="Table1" ref="A1:J601" totalsRowShown="0" headerRowDxfId="18" dataDxfId="17">
  <autoFilter ref="A1:J601" xr:uid="{73D764DE-FC30-4FB4-AECA-9D156A6926BE}"/>
  <sortState xmlns:xlrd2="http://schemas.microsoft.com/office/spreadsheetml/2017/richdata2" ref="A2:J601">
    <sortCondition descending="1" ref="D1:D601"/>
  </sortState>
  <tableColumns count="10">
    <tableColumn id="1" xr3:uid="{C494FC1E-F3A1-47F3-ACCF-007CA0F9154C}" name="Name" dataDxfId="16"/>
    <tableColumn id="9" xr3:uid="{A9E48769-2A48-4C8D-A1CC-E46C73CCD081}" name="First Word" dataDxfId="15">
      <calculatedColumnFormula>LEFT(A2,FIND(" ",A2&amp;" ")-1)</calculatedColumnFormula>
    </tableColumn>
    <tableColumn id="2" xr3:uid="{CAE69486-C5A6-470C-A412-330628A0E6A2}" name="Author" dataDxfId="14"/>
    <tableColumn id="3" xr3:uid="{97A3A856-E587-4BC5-8D2B-30DB20D45C46}" name="User Rating" dataDxfId="13"/>
    <tableColumn id="4" xr3:uid="{7E1B7B91-F1C9-4E1B-9655-DFB1E9DC9F01}" name="Reviews" dataDxfId="12"/>
    <tableColumn id="5" xr3:uid="{DEBA68A0-6DC9-4A16-83BF-51543D85B4A2}" name="Price" dataDxfId="11"/>
    <tableColumn id="13" xr3:uid="{37620768-9DCB-48DD-9C8F-445B899ABE54}" name="Price Category" dataDxfId="10">
      <calculatedColumnFormula>IF(F2&gt;10,"High Price","Normal Price")</calculatedColumnFormula>
    </tableColumn>
    <tableColumn id="6" xr3:uid="{EF512114-4569-43F8-9430-1ED641458CFD}" name="Year" dataDxfId="9"/>
    <tableColumn id="7" xr3:uid="{6A916D41-FE4F-4874-8EA5-71C1A72D2A3B}" name="Genre" dataDxfId="8"/>
    <tableColumn id="10" xr3:uid="{8E06D565-3CA2-49AE-BBA3-F3258E4E56F1}" name="Rating Category" dataDxfId="7">
      <calculatedColumnFormula>IF(D2&gt;=4.5,"Excellent",IF(D2&gt;=4,"Good","Average"))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0F4730-C923-4792-802B-741266E54D93}" name="Table5" displayName="Table5" ref="A1:B11" totalsRowShown="0" headerRowDxfId="0">
  <autoFilter ref="A1:B11" xr:uid="{CE0F4730-C923-4792-802B-741266E54D93}"/>
  <tableColumns count="2">
    <tableColumn id="1" xr3:uid="{50D1A634-C8CF-448C-BB7D-F0EA015ACB4C}" name="Task" dataDxfId="2"/>
    <tableColumn id="2" xr3:uid="{30CA841E-8127-400E-ABA6-FE9B3C67C1F5}" name="Answer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B087-4DC9-49BD-A043-191B5B1CA348}">
  <dimension ref="A1:G601"/>
  <sheetViews>
    <sheetView tabSelected="1" workbookViewId="0"/>
  </sheetViews>
  <sheetFormatPr defaultRowHeight="13.2" x14ac:dyDescent="0.25"/>
  <cols>
    <col min="1" max="1" width="80.88671875" bestFit="1" customWidth="1"/>
    <col min="2" max="2" width="31" bestFit="1" customWidth="1"/>
    <col min="3" max="3" width="13.5546875" bestFit="1" customWidth="1"/>
    <col min="4" max="4" width="10.44140625" bestFit="1" customWidth="1"/>
    <col min="5" max="5" width="7.6640625" bestFit="1" customWidth="1"/>
    <col min="6" max="6" width="7.109375" bestFit="1" customWidth="1"/>
    <col min="7" max="7" width="10.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1" t="s">
        <v>7</v>
      </c>
      <c r="B2" s="11" t="s">
        <v>8</v>
      </c>
      <c r="C2">
        <v>4.7</v>
      </c>
      <c r="D2">
        <v>17350</v>
      </c>
      <c r="E2">
        <v>8</v>
      </c>
      <c r="F2">
        <v>2016</v>
      </c>
      <c r="G2" s="11" t="s">
        <v>9</v>
      </c>
    </row>
    <row r="3" spans="1:7" x14ac:dyDescent="0.25">
      <c r="A3" s="11" t="s">
        <v>10</v>
      </c>
      <c r="B3" s="11" t="s">
        <v>11</v>
      </c>
      <c r="C3">
        <v>4.5999999999999996</v>
      </c>
      <c r="D3">
        <v>2052</v>
      </c>
      <c r="E3">
        <v>22</v>
      </c>
      <c r="F3">
        <v>2011</v>
      </c>
      <c r="G3" s="11" t="s">
        <v>12</v>
      </c>
    </row>
    <row r="4" spans="1:7" x14ac:dyDescent="0.25">
      <c r="A4" s="11" t="s">
        <v>13</v>
      </c>
      <c r="B4" s="11" t="s">
        <v>14</v>
      </c>
      <c r="C4">
        <v>4.7</v>
      </c>
      <c r="D4">
        <v>18979</v>
      </c>
      <c r="E4">
        <v>15</v>
      </c>
      <c r="F4">
        <v>2018</v>
      </c>
      <c r="G4" s="11" t="s">
        <v>9</v>
      </c>
    </row>
    <row r="5" spans="1:7" x14ac:dyDescent="0.25">
      <c r="A5" s="11" t="s">
        <v>15</v>
      </c>
      <c r="B5" s="11" t="s">
        <v>16</v>
      </c>
      <c r="C5">
        <v>4.7</v>
      </c>
      <c r="D5">
        <v>21424</v>
      </c>
      <c r="E5">
        <v>6</v>
      </c>
      <c r="F5">
        <v>2017</v>
      </c>
      <c r="G5" s="11" t="s">
        <v>12</v>
      </c>
    </row>
    <row r="6" spans="1:7" x14ac:dyDescent="0.25">
      <c r="A6" s="11" t="s">
        <v>17</v>
      </c>
      <c r="B6" s="11" t="s">
        <v>18</v>
      </c>
      <c r="C6">
        <v>4.8</v>
      </c>
      <c r="D6">
        <v>7665</v>
      </c>
      <c r="E6">
        <v>12</v>
      </c>
      <c r="F6">
        <v>2019</v>
      </c>
      <c r="G6" s="11" t="s">
        <v>9</v>
      </c>
    </row>
    <row r="7" spans="1:7" x14ac:dyDescent="0.25">
      <c r="A7" s="11" t="s">
        <v>19</v>
      </c>
      <c r="B7" s="11" t="s">
        <v>20</v>
      </c>
      <c r="C7">
        <v>4.4000000000000004</v>
      </c>
      <c r="D7">
        <v>12643</v>
      </c>
      <c r="E7">
        <v>11</v>
      </c>
      <c r="F7">
        <v>2011</v>
      </c>
      <c r="G7" s="11" t="s">
        <v>12</v>
      </c>
    </row>
    <row r="8" spans="1:7" x14ac:dyDescent="0.25">
      <c r="A8" s="11" t="s">
        <v>21</v>
      </c>
      <c r="B8" s="11" t="s">
        <v>20</v>
      </c>
      <c r="C8">
        <v>4.7</v>
      </c>
      <c r="D8">
        <v>19735</v>
      </c>
      <c r="E8">
        <v>30</v>
      </c>
      <c r="F8">
        <v>2014</v>
      </c>
      <c r="G8" s="11" t="s">
        <v>12</v>
      </c>
    </row>
    <row r="9" spans="1:7" x14ac:dyDescent="0.25">
      <c r="A9" s="11" t="s">
        <v>22</v>
      </c>
      <c r="B9" s="11" t="s">
        <v>23</v>
      </c>
      <c r="C9">
        <v>4.7</v>
      </c>
      <c r="D9">
        <v>19699</v>
      </c>
      <c r="E9">
        <v>15</v>
      </c>
      <c r="F9">
        <v>2017</v>
      </c>
      <c r="G9" s="11" t="s">
        <v>12</v>
      </c>
    </row>
    <row r="10" spans="1:7" x14ac:dyDescent="0.25">
      <c r="A10" s="11" t="s">
        <v>24</v>
      </c>
      <c r="B10" s="11" t="s">
        <v>25</v>
      </c>
      <c r="C10">
        <v>4.7</v>
      </c>
      <c r="D10">
        <v>5983</v>
      </c>
      <c r="E10">
        <v>3</v>
      </c>
      <c r="F10">
        <v>2018</v>
      </c>
      <c r="G10" s="11" t="s">
        <v>9</v>
      </c>
    </row>
    <row r="11" spans="1:7" x14ac:dyDescent="0.25">
      <c r="A11" s="11" t="s">
        <v>26</v>
      </c>
      <c r="B11" s="11" t="s">
        <v>27</v>
      </c>
      <c r="C11">
        <v>4.5999999999999996</v>
      </c>
      <c r="D11">
        <v>23848</v>
      </c>
      <c r="E11">
        <v>8</v>
      </c>
      <c r="F11">
        <v>2016</v>
      </c>
      <c r="G11" s="11" t="s">
        <v>12</v>
      </c>
    </row>
    <row r="12" spans="1:7" x14ac:dyDescent="0.25">
      <c r="A12" s="11" t="s">
        <v>26</v>
      </c>
      <c r="B12" s="11" t="s">
        <v>27</v>
      </c>
      <c r="C12">
        <v>4.5999999999999996</v>
      </c>
      <c r="D12">
        <v>23848</v>
      </c>
      <c r="E12">
        <v>8</v>
      </c>
      <c r="F12">
        <v>2017</v>
      </c>
      <c r="G12" s="11" t="s">
        <v>12</v>
      </c>
    </row>
    <row r="13" spans="1:7" x14ac:dyDescent="0.25">
      <c r="A13" s="11" t="s">
        <v>28</v>
      </c>
      <c r="B13" s="11" t="s">
        <v>29</v>
      </c>
      <c r="C13">
        <v>4.5999999999999996</v>
      </c>
      <c r="D13">
        <v>460</v>
      </c>
      <c r="E13">
        <v>2</v>
      </c>
      <c r="F13">
        <v>2010</v>
      </c>
      <c r="G13" s="11" t="s">
        <v>9</v>
      </c>
    </row>
    <row r="14" spans="1:7" x14ac:dyDescent="0.25">
      <c r="A14" s="11" t="s">
        <v>30</v>
      </c>
      <c r="B14" s="11" t="s">
        <v>31</v>
      </c>
      <c r="C14">
        <v>4.5999999999999996</v>
      </c>
      <c r="D14">
        <v>4149</v>
      </c>
      <c r="E14">
        <v>32</v>
      </c>
      <c r="F14">
        <v>2011</v>
      </c>
      <c r="G14" s="11" t="s">
        <v>9</v>
      </c>
    </row>
    <row r="15" spans="1:7" x14ac:dyDescent="0.25">
      <c r="A15" s="11" t="s">
        <v>32</v>
      </c>
      <c r="B15" s="11" t="s">
        <v>33</v>
      </c>
      <c r="C15">
        <v>4.5</v>
      </c>
      <c r="D15">
        <v>5153</v>
      </c>
      <c r="E15">
        <v>5</v>
      </c>
      <c r="F15">
        <v>2018</v>
      </c>
      <c r="G15" s="11" t="s">
        <v>12</v>
      </c>
    </row>
    <row r="16" spans="1:7" x14ac:dyDescent="0.25">
      <c r="A16" s="11" t="s">
        <v>675</v>
      </c>
      <c r="B16" s="11" t="s">
        <v>34</v>
      </c>
      <c r="C16">
        <v>4.5999999999999996</v>
      </c>
      <c r="D16">
        <v>5013</v>
      </c>
      <c r="E16">
        <v>17</v>
      </c>
      <c r="F16">
        <v>2009</v>
      </c>
      <c r="G16" s="11" t="s">
        <v>9</v>
      </c>
    </row>
    <row r="17" spans="1:7" x14ac:dyDescent="0.25">
      <c r="A17" s="11" t="s">
        <v>35</v>
      </c>
      <c r="B17" s="11" t="s">
        <v>36</v>
      </c>
      <c r="C17">
        <v>4.5</v>
      </c>
      <c r="D17">
        <v>2313</v>
      </c>
      <c r="E17">
        <v>4</v>
      </c>
      <c r="F17">
        <v>2016</v>
      </c>
      <c r="G17" s="11" t="s">
        <v>9</v>
      </c>
    </row>
    <row r="18" spans="1:7" x14ac:dyDescent="0.25">
      <c r="A18" s="11" t="s">
        <v>37</v>
      </c>
      <c r="B18" s="11" t="s">
        <v>38</v>
      </c>
      <c r="C18">
        <v>4.5999999999999996</v>
      </c>
      <c r="D18">
        <v>2925</v>
      </c>
      <c r="E18">
        <v>6</v>
      </c>
      <c r="F18">
        <v>2015</v>
      </c>
      <c r="G18" s="11" t="s">
        <v>9</v>
      </c>
    </row>
    <row r="19" spans="1:7" x14ac:dyDescent="0.25">
      <c r="A19" s="11" t="s">
        <v>39</v>
      </c>
      <c r="B19" s="11" t="s">
        <v>38</v>
      </c>
      <c r="C19">
        <v>4.4000000000000004</v>
      </c>
      <c r="D19">
        <v>2951</v>
      </c>
      <c r="E19">
        <v>6</v>
      </c>
      <c r="F19">
        <v>2015</v>
      </c>
      <c r="G19" s="11" t="s">
        <v>9</v>
      </c>
    </row>
    <row r="20" spans="1:7" x14ac:dyDescent="0.25">
      <c r="A20" s="11" t="s">
        <v>40</v>
      </c>
      <c r="B20" s="11" t="s">
        <v>41</v>
      </c>
      <c r="C20">
        <v>4.5</v>
      </c>
      <c r="D20">
        <v>2426</v>
      </c>
      <c r="E20">
        <v>8</v>
      </c>
      <c r="F20">
        <v>2015</v>
      </c>
      <c r="G20" s="11" t="s">
        <v>9</v>
      </c>
    </row>
    <row r="21" spans="1:7" x14ac:dyDescent="0.25">
      <c r="A21" s="11" t="s">
        <v>42</v>
      </c>
      <c r="B21" s="11" t="s">
        <v>43</v>
      </c>
      <c r="C21">
        <v>4.8</v>
      </c>
      <c r="D21">
        <v>9198</v>
      </c>
      <c r="E21">
        <v>13</v>
      </c>
      <c r="F21">
        <v>2016</v>
      </c>
      <c r="G21" s="11" t="s">
        <v>9</v>
      </c>
    </row>
    <row r="22" spans="1:7" x14ac:dyDescent="0.25">
      <c r="A22" s="11" t="s">
        <v>44</v>
      </c>
      <c r="B22" s="11" t="s">
        <v>45</v>
      </c>
      <c r="C22">
        <v>4.5999999999999996</v>
      </c>
      <c r="D22">
        <v>36348</v>
      </c>
      <c r="E22">
        <v>14</v>
      </c>
      <c r="F22">
        <v>2014</v>
      </c>
      <c r="G22" s="11" t="s">
        <v>12</v>
      </c>
    </row>
    <row r="23" spans="1:7" x14ac:dyDescent="0.25">
      <c r="A23" s="11" t="s">
        <v>44</v>
      </c>
      <c r="B23" s="11" t="s">
        <v>45</v>
      </c>
      <c r="C23">
        <v>4.5999999999999996</v>
      </c>
      <c r="D23">
        <v>36348</v>
      </c>
      <c r="E23">
        <v>14</v>
      </c>
      <c r="F23">
        <v>2015</v>
      </c>
      <c r="G23" s="11" t="s">
        <v>12</v>
      </c>
    </row>
    <row r="24" spans="1:7" x14ac:dyDescent="0.25">
      <c r="A24" s="11" t="s">
        <v>46</v>
      </c>
      <c r="B24" s="11" t="s">
        <v>47</v>
      </c>
      <c r="C24">
        <v>3.9</v>
      </c>
      <c r="D24">
        <v>6310</v>
      </c>
      <c r="E24">
        <v>13</v>
      </c>
      <c r="F24">
        <v>2013</v>
      </c>
      <c r="G24" s="11" t="s">
        <v>12</v>
      </c>
    </row>
    <row r="25" spans="1:7" x14ac:dyDescent="0.25">
      <c r="A25" s="11" t="s">
        <v>48</v>
      </c>
      <c r="B25" s="11" t="s">
        <v>49</v>
      </c>
      <c r="C25">
        <v>4.5999999999999996</v>
      </c>
      <c r="D25">
        <v>15921</v>
      </c>
      <c r="E25">
        <v>9</v>
      </c>
      <c r="F25">
        <v>2015</v>
      </c>
      <c r="G25" s="11" t="s">
        <v>9</v>
      </c>
    </row>
    <row r="26" spans="1:7" x14ac:dyDescent="0.25">
      <c r="A26" s="11" t="s">
        <v>50</v>
      </c>
      <c r="B26" s="11" t="s">
        <v>51</v>
      </c>
      <c r="C26">
        <v>4.3</v>
      </c>
      <c r="D26">
        <v>12159</v>
      </c>
      <c r="E26">
        <v>13</v>
      </c>
      <c r="F26">
        <v>2013</v>
      </c>
      <c r="G26" s="11" t="s">
        <v>12</v>
      </c>
    </row>
    <row r="27" spans="1:7" x14ac:dyDescent="0.25">
      <c r="A27" s="11" t="s">
        <v>52</v>
      </c>
      <c r="B27" s="11" t="s">
        <v>53</v>
      </c>
      <c r="C27">
        <v>4.5999999999999996</v>
      </c>
      <c r="D27">
        <v>798</v>
      </c>
      <c r="E27">
        <v>5</v>
      </c>
      <c r="F27">
        <v>2009</v>
      </c>
      <c r="G27" s="11" t="s">
        <v>9</v>
      </c>
    </row>
    <row r="28" spans="1:7" x14ac:dyDescent="0.25">
      <c r="A28" s="11" t="s">
        <v>54</v>
      </c>
      <c r="B28" s="11" t="s">
        <v>55</v>
      </c>
      <c r="C28">
        <v>4.7</v>
      </c>
      <c r="D28">
        <v>9374</v>
      </c>
      <c r="E28">
        <v>9</v>
      </c>
      <c r="F28">
        <v>2017</v>
      </c>
      <c r="G28" s="11" t="s">
        <v>9</v>
      </c>
    </row>
    <row r="29" spans="1:7" x14ac:dyDescent="0.25">
      <c r="A29" s="11" t="s">
        <v>56</v>
      </c>
      <c r="B29" s="11" t="s">
        <v>57</v>
      </c>
      <c r="C29">
        <v>4.2</v>
      </c>
      <c r="D29">
        <v>491</v>
      </c>
      <c r="E29">
        <v>14</v>
      </c>
      <c r="F29">
        <v>2010</v>
      </c>
      <c r="G29" s="11" t="s">
        <v>9</v>
      </c>
    </row>
    <row r="30" spans="1:7" x14ac:dyDescent="0.25">
      <c r="A30" s="11" t="s">
        <v>58</v>
      </c>
      <c r="B30" s="11" t="s">
        <v>59</v>
      </c>
      <c r="C30">
        <v>4.5999999999999996</v>
      </c>
      <c r="D30">
        <v>5360</v>
      </c>
      <c r="E30">
        <v>5</v>
      </c>
      <c r="F30">
        <v>2015</v>
      </c>
      <c r="G30" s="11" t="s">
        <v>9</v>
      </c>
    </row>
    <row r="31" spans="1:7" x14ac:dyDescent="0.25">
      <c r="A31" s="11" t="s">
        <v>60</v>
      </c>
      <c r="B31" s="11" t="s">
        <v>61</v>
      </c>
      <c r="C31">
        <v>4.5999999999999996</v>
      </c>
      <c r="D31">
        <v>1909</v>
      </c>
      <c r="E31">
        <v>11</v>
      </c>
      <c r="F31">
        <v>2015</v>
      </c>
      <c r="G31" s="11" t="s">
        <v>9</v>
      </c>
    </row>
    <row r="32" spans="1:7" x14ac:dyDescent="0.25">
      <c r="A32" s="11" t="s">
        <v>62</v>
      </c>
      <c r="B32" s="11" t="s">
        <v>63</v>
      </c>
      <c r="C32">
        <v>4.8</v>
      </c>
      <c r="D32">
        <v>1296</v>
      </c>
      <c r="E32">
        <v>24</v>
      </c>
      <c r="F32">
        <v>2012</v>
      </c>
      <c r="G32" s="11" t="s">
        <v>9</v>
      </c>
    </row>
    <row r="33" spans="1:7" x14ac:dyDescent="0.25">
      <c r="A33" s="11" t="s">
        <v>64</v>
      </c>
      <c r="B33" s="11" t="s">
        <v>63</v>
      </c>
      <c r="C33">
        <v>4.7</v>
      </c>
      <c r="D33">
        <v>615</v>
      </c>
      <c r="E33">
        <v>21</v>
      </c>
      <c r="F33">
        <v>2010</v>
      </c>
      <c r="G33" s="11" t="s">
        <v>9</v>
      </c>
    </row>
    <row r="34" spans="1:7" x14ac:dyDescent="0.25">
      <c r="A34" s="11" t="s">
        <v>65</v>
      </c>
      <c r="B34" s="11" t="s">
        <v>66</v>
      </c>
      <c r="C34">
        <v>4.8</v>
      </c>
      <c r="D34">
        <v>61133</v>
      </c>
      <c r="E34">
        <v>11</v>
      </c>
      <c r="F34">
        <v>2018</v>
      </c>
      <c r="G34" s="11" t="s">
        <v>9</v>
      </c>
    </row>
    <row r="35" spans="1:7" x14ac:dyDescent="0.25">
      <c r="A35" s="11" t="s">
        <v>65</v>
      </c>
      <c r="B35" s="11" t="s">
        <v>66</v>
      </c>
      <c r="C35">
        <v>4.8</v>
      </c>
      <c r="D35">
        <v>61133</v>
      </c>
      <c r="E35">
        <v>11</v>
      </c>
      <c r="F35">
        <v>2019</v>
      </c>
      <c r="G35" s="11" t="s">
        <v>9</v>
      </c>
    </row>
    <row r="36" spans="1:7" x14ac:dyDescent="0.25">
      <c r="A36" s="11" t="s">
        <v>67</v>
      </c>
      <c r="B36" s="11" t="s">
        <v>68</v>
      </c>
      <c r="C36">
        <v>4.8</v>
      </c>
      <c r="D36">
        <v>11113</v>
      </c>
      <c r="E36">
        <v>15</v>
      </c>
      <c r="F36">
        <v>2015</v>
      </c>
      <c r="G36" s="11" t="s">
        <v>9</v>
      </c>
    </row>
    <row r="37" spans="1:7" x14ac:dyDescent="0.25">
      <c r="A37" s="11" t="s">
        <v>69</v>
      </c>
      <c r="B37" s="11" t="s">
        <v>70</v>
      </c>
      <c r="C37">
        <v>4.7</v>
      </c>
      <c r="D37">
        <v>10070</v>
      </c>
      <c r="E37">
        <v>13</v>
      </c>
      <c r="F37">
        <v>2015</v>
      </c>
      <c r="G37" s="11" t="s">
        <v>9</v>
      </c>
    </row>
    <row r="38" spans="1:7" x14ac:dyDescent="0.25">
      <c r="A38" s="11" t="s">
        <v>69</v>
      </c>
      <c r="B38" s="11" t="s">
        <v>70</v>
      </c>
      <c r="C38">
        <v>4.7</v>
      </c>
      <c r="D38">
        <v>10070</v>
      </c>
      <c r="E38">
        <v>13</v>
      </c>
      <c r="F38">
        <v>2016</v>
      </c>
      <c r="G38" s="11" t="s">
        <v>9</v>
      </c>
    </row>
    <row r="39" spans="1:7" x14ac:dyDescent="0.25">
      <c r="A39" s="11" t="s">
        <v>71</v>
      </c>
      <c r="B39" s="11" t="s">
        <v>72</v>
      </c>
      <c r="C39">
        <v>4.7</v>
      </c>
      <c r="D39">
        <v>3729</v>
      </c>
      <c r="E39">
        <v>18</v>
      </c>
      <c r="F39">
        <v>2016</v>
      </c>
      <c r="G39" s="11" t="s">
        <v>9</v>
      </c>
    </row>
    <row r="40" spans="1:7" x14ac:dyDescent="0.25">
      <c r="A40" s="11" t="s">
        <v>73</v>
      </c>
      <c r="B40" s="11" t="s">
        <v>74</v>
      </c>
      <c r="C40">
        <v>4.5999999999999996</v>
      </c>
      <c r="D40">
        <v>9769</v>
      </c>
      <c r="E40">
        <v>13</v>
      </c>
      <c r="F40">
        <v>2009</v>
      </c>
      <c r="G40" s="11" t="s">
        <v>12</v>
      </c>
    </row>
    <row r="41" spans="1:7" x14ac:dyDescent="0.25">
      <c r="A41" s="11" t="s">
        <v>75</v>
      </c>
      <c r="B41" s="11" t="s">
        <v>53</v>
      </c>
      <c r="C41">
        <v>4.5</v>
      </c>
      <c r="D41">
        <v>471</v>
      </c>
      <c r="E41">
        <v>8</v>
      </c>
      <c r="F41">
        <v>2010</v>
      </c>
      <c r="G41" s="11" t="s">
        <v>9</v>
      </c>
    </row>
    <row r="42" spans="1:7" x14ac:dyDescent="0.25">
      <c r="A42" s="11" t="s">
        <v>76</v>
      </c>
      <c r="B42" s="11" t="s">
        <v>77</v>
      </c>
      <c r="C42">
        <v>4.9000000000000004</v>
      </c>
      <c r="D42">
        <v>14344</v>
      </c>
      <c r="E42">
        <v>5</v>
      </c>
      <c r="F42">
        <v>2017</v>
      </c>
      <c r="G42" s="11" t="s">
        <v>12</v>
      </c>
    </row>
    <row r="43" spans="1:7" x14ac:dyDescent="0.25">
      <c r="A43" s="11" t="s">
        <v>76</v>
      </c>
      <c r="B43" s="11" t="s">
        <v>77</v>
      </c>
      <c r="C43">
        <v>4.9000000000000004</v>
      </c>
      <c r="D43">
        <v>14344</v>
      </c>
      <c r="E43">
        <v>5</v>
      </c>
      <c r="F43">
        <v>2019</v>
      </c>
      <c r="G43" s="11" t="s">
        <v>12</v>
      </c>
    </row>
    <row r="44" spans="1:7" x14ac:dyDescent="0.25">
      <c r="A44" s="11" t="s">
        <v>78</v>
      </c>
      <c r="B44" s="11" t="s">
        <v>79</v>
      </c>
      <c r="C44">
        <v>4.8</v>
      </c>
      <c r="D44">
        <v>4505</v>
      </c>
      <c r="E44">
        <v>0</v>
      </c>
      <c r="F44">
        <v>2011</v>
      </c>
      <c r="G44" s="11" t="s">
        <v>12</v>
      </c>
    </row>
    <row r="45" spans="1:7" x14ac:dyDescent="0.25">
      <c r="A45" s="11" t="s">
        <v>80</v>
      </c>
      <c r="B45" s="11" t="s">
        <v>81</v>
      </c>
      <c r="C45">
        <v>4.5999999999999996</v>
      </c>
      <c r="D45">
        <v>10369</v>
      </c>
      <c r="E45">
        <v>4</v>
      </c>
      <c r="F45">
        <v>2016</v>
      </c>
      <c r="G45" s="11" t="s">
        <v>9</v>
      </c>
    </row>
    <row r="46" spans="1:7" x14ac:dyDescent="0.25">
      <c r="A46" s="11" t="s">
        <v>82</v>
      </c>
      <c r="B46" s="11" t="s">
        <v>83</v>
      </c>
      <c r="C46">
        <v>4.8</v>
      </c>
      <c r="D46">
        <v>16244</v>
      </c>
      <c r="E46">
        <v>18</v>
      </c>
      <c r="F46">
        <v>2019</v>
      </c>
      <c r="G46" s="11" t="s">
        <v>9</v>
      </c>
    </row>
    <row r="47" spans="1:7" x14ac:dyDescent="0.25">
      <c r="A47" s="11" t="s">
        <v>84</v>
      </c>
      <c r="B47" s="11" t="s">
        <v>85</v>
      </c>
      <c r="C47">
        <v>4.5</v>
      </c>
      <c r="D47">
        <v>2884</v>
      </c>
      <c r="E47">
        <v>28</v>
      </c>
      <c r="F47">
        <v>2014</v>
      </c>
      <c r="G47" s="11" t="s">
        <v>9</v>
      </c>
    </row>
    <row r="48" spans="1:7" x14ac:dyDescent="0.25">
      <c r="A48" s="11" t="s">
        <v>86</v>
      </c>
      <c r="B48" s="11" t="s">
        <v>87</v>
      </c>
      <c r="C48">
        <v>4.7</v>
      </c>
      <c r="D48">
        <v>22614</v>
      </c>
      <c r="E48">
        <v>11</v>
      </c>
      <c r="F48">
        <v>2010</v>
      </c>
      <c r="G48" s="11" t="s">
        <v>12</v>
      </c>
    </row>
    <row r="49" spans="1:7" x14ac:dyDescent="0.25">
      <c r="A49" s="11" t="s">
        <v>86</v>
      </c>
      <c r="B49" s="11" t="s">
        <v>87</v>
      </c>
      <c r="C49">
        <v>4.7</v>
      </c>
      <c r="D49">
        <v>22614</v>
      </c>
      <c r="E49">
        <v>11</v>
      </c>
      <c r="F49">
        <v>2011</v>
      </c>
      <c r="G49" s="11" t="s">
        <v>12</v>
      </c>
    </row>
    <row r="50" spans="1:7" x14ac:dyDescent="0.25">
      <c r="A50" s="11" t="s">
        <v>86</v>
      </c>
      <c r="B50" s="11" t="s">
        <v>87</v>
      </c>
      <c r="C50">
        <v>4.7</v>
      </c>
      <c r="D50">
        <v>22614</v>
      </c>
      <c r="E50">
        <v>11</v>
      </c>
      <c r="F50">
        <v>2012</v>
      </c>
      <c r="G50" s="11" t="s">
        <v>12</v>
      </c>
    </row>
    <row r="51" spans="1:7" x14ac:dyDescent="0.25">
      <c r="A51" s="11" t="s">
        <v>88</v>
      </c>
      <c r="B51" s="11" t="s">
        <v>89</v>
      </c>
      <c r="C51">
        <v>4.7</v>
      </c>
      <c r="D51">
        <v>4761</v>
      </c>
      <c r="E51">
        <v>16</v>
      </c>
      <c r="F51">
        <v>2016</v>
      </c>
      <c r="G51" s="11" t="s">
        <v>9</v>
      </c>
    </row>
    <row r="52" spans="1:7" x14ac:dyDescent="0.25">
      <c r="A52" s="11" t="s">
        <v>90</v>
      </c>
      <c r="B52" s="11" t="s">
        <v>91</v>
      </c>
      <c r="C52">
        <v>4.7</v>
      </c>
      <c r="D52">
        <v>1542</v>
      </c>
      <c r="E52">
        <v>14</v>
      </c>
      <c r="F52">
        <v>2009</v>
      </c>
      <c r="G52" s="11" t="s">
        <v>9</v>
      </c>
    </row>
    <row r="53" spans="1:7" x14ac:dyDescent="0.25">
      <c r="A53" s="11" t="s">
        <v>90</v>
      </c>
      <c r="B53" s="11" t="s">
        <v>91</v>
      </c>
      <c r="C53">
        <v>4.7</v>
      </c>
      <c r="D53">
        <v>1542</v>
      </c>
      <c r="E53">
        <v>14</v>
      </c>
      <c r="F53">
        <v>2010</v>
      </c>
      <c r="G53" s="11" t="s">
        <v>9</v>
      </c>
    </row>
    <row r="54" spans="1:7" x14ac:dyDescent="0.25">
      <c r="A54" s="11" t="s">
        <v>90</v>
      </c>
      <c r="B54" s="11" t="s">
        <v>91</v>
      </c>
      <c r="C54">
        <v>4.7</v>
      </c>
      <c r="D54">
        <v>1542</v>
      </c>
      <c r="E54">
        <v>14</v>
      </c>
      <c r="F54">
        <v>2011</v>
      </c>
      <c r="G54" s="11" t="s">
        <v>9</v>
      </c>
    </row>
    <row r="55" spans="1:7" x14ac:dyDescent="0.25">
      <c r="A55" s="11" t="s">
        <v>92</v>
      </c>
      <c r="B55" s="11" t="s">
        <v>93</v>
      </c>
      <c r="C55">
        <v>4.3</v>
      </c>
      <c r="D55">
        <v>6143</v>
      </c>
      <c r="E55">
        <v>8</v>
      </c>
      <c r="F55">
        <v>2018</v>
      </c>
      <c r="G55" s="11" t="s">
        <v>12</v>
      </c>
    </row>
    <row r="56" spans="1:7" x14ac:dyDescent="0.25">
      <c r="A56" s="11" t="s">
        <v>94</v>
      </c>
      <c r="B56" s="11" t="s">
        <v>95</v>
      </c>
      <c r="C56">
        <v>4.8</v>
      </c>
      <c r="D56">
        <v>4022</v>
      </c>
      <c r="E56">
        <v>4</v>
      </c>
      <c r="F56">
        <v>2015</v>
      </c>
      <c r="G56" s="11" t="s">
        <v>9</v>
      </c>
    </row>
    <row r="57" spans="1:7" x14ac:dyDescent="0.25">
      <c r="A57" s="11" t="s">
        <v>96</v>
      </c>
      <c r="B57" s="11" t="s">
        <v>95</v>
      </c>
      <c r="C57">
        <v>4.8</v>
      </c>
      <c r="D57">
        <v>3871</v>
      </c>
      <c r="E57">
        <v>5</v>
      </c>
      <c r="F57">
        <v>2015</v>
      </c>
      <c r="G57" s="11" t="s">
        <v>9</v>
      </c>
    </row>
    <row r="58" spans="1:7" x14ac:dyDescent="0.25">
      <c r="A58" s="11" t="s">
        <v>97</v>
      </c>
      <c r="B58" s="11" t="s">
        <v>98</v>
      </c>
      <c r="C58">
        <v>4.5999999999999996</v>
      </c>
      <c r="D58">
        <v>4866</v>
      </c>
      <c r="E58">
        <v>11</v>
      </c>
      <c r="F58">
        <v>2010</v>
      </c>
      <c r="G58" s="11" t="s">
        <v>12</v>
      </c>
    </row>
    <row r="59" spans="1:7" x14ac:dyDescent="0.25">
      <c r="A59" s="11" t="s">
        <v>97</v>
      </c>
      <c r="B59" s="11" t="s">
        <v>98</v>
      </c>
      <c r="C59">
        <v>4.5999999999999996</v>
      </c>
      <c r="D59">
        <v>4866</v>
      </c>
      <c r="E59">
        <v>11</v>
      </c>
      <c r="F59">
        <v>2011</v>
      </c>
      <c r="G59" s="11" t="s">
        <v>12</v>
      </c>
    </row>
    <row r="60" spans="1:7" x14ac:dyDescent="0.25">
      <c r="A60" s="11" t="s">
        <v>99</v>
      </c>
      <c r="B60" s="11" t="s">
        <v>100</v>
      </c>
      <c r="C60">
        <v>4.8</v>
      </c>
      <c r="D60">
        <v>1329</v>
      </c>
      <c r="E60">
        <v>10</v>
      </c>
      <c r="F60">
        <v>2013</v>
      </c>
      <c r="G60" s="11" t="s">
        <v>9</v>
      </c>
    </row>
    <row r="61" spans="1:7" x14ac:dyDescent="0.25">
      <c r="A61" s="11" t="s">
        <v>101</v>
      </c>
      <c r="B61" s="11" t="s">
        <v>102</v>
      </c>
      <c r="C61">
        <v>4.4000000000000004</v>
      </c>
      <c r="D61">
        <v>4642</v>
      </c>
      <c r="E61">
        <v>13</v>
      </c>
      <c r="F61">
        <v>2013</v>
      </c>
      <c r="G61" s="11" t="s">
        <v>9</v>
      </c>
    </row>
    <row r="62" spans="1:7" x14ac:dyDescent="0.25">
      <c r="A62" s="11" t="s">
        <v>103</v>
      </c>
      <c r="B62" s="11" t="s">
        <v>104</v>
      </c>
      <c r="C62">
        <v>4.5999999999999996</v>
      </c>
      <c r="D62">
        <v>1541</v>
      </c>
      <c r="E62">
        <v>4</v>
      </c>
      <c r="F62">
        <v>2009</v>
      </c>
      <c r="G62" s="11" t="s">
        <v>12</v>
      </c>
    </row>
    <row r="63" spans="1:7" x14ac:dyDescent="0.25">
      <c r="A63" s="11" t="s">
        <v>105</v>
      </c>
      <c r="B63" s="11" t="s">
        <v>104</v>
      </c>
      <c r="C63">
        <v>4.3</v>
      </c>
      <c r="D63">
        <v>1924</v>
      </c>
      <c r="E63">
        <v>8</v>
      </c>
      <c r="F63">
        <v>2010</v>
      </c>
      <c r="G63" s="11" t="s">
        <v>12</v>
      </c>
    </row>
    <row r="64" spans="1:7" x14ac:dyDescent="0.25">
      <c r="A64" s="11" t="s">
        <v>106</v>
      </c>
      <c r="B64" s="11" t="s">
        <v>104</v>
      </c>
      <c r="C64">
        <v>4.2</v>
      </c>
      <c r="D64">
        <v>2094</v>
      </c>
      <c r="E64">
        <v>4</v>
      </c>
      <c r="F64">
        <v>2011</v>
      </c>
      <c r="G64" s="11" t="s">
        <v>12</v>
      </c>
    </row>
    <row r="65" spans="1:7" x14ac:dyDescent="0.25">
      <c r="A65" s="11" t="s">
        <v>107</v>
      </c>
      <c r="B65" s="11" t="s">
        <v>108</v>
      </c>
      <c r="C65">
        <v>4.8</v>
      </c>
      <c r="D65">
        <v>10922</v>
      </c>
      <c r="E65">
        <v>5</v>
      </c>
      <c r="F65">
        <v>2015</v>
      </c>
      <c r="G65" s="11" t="s">
        <v>12</v>
      </c>
    </row>
    <row r="66" spans="1:7" x14ac:dyDescent="0.25">
      <c r="A66" s="11" t="s">
        <v>107</v>
      </c>
      <c r="B66" s="11" t="s">
        <v>108</v>
      </c>
      <c r="C66">
        <v>4.8</v>
      </c>
      <c r="D66">
        <v>10922</v>
      </c>
      <c r="E66">
        <v>5</v>
      </c>
      <c r="F66">
        <v>2016</v>
      </c>
      <c r="G66" s="11" t="s">
        <v>12</v>
      </c>
    </row>
    <row r="67" spans="1:7" x14ac:dyDescent="0.25">
      <c r="A67" s="11" t="s">
        <v>107</v>
      </c>
      <c r="B67" s="11" t="s">
        <v>108</v>
      </c>
      <c r="C67">
        <v>4.8</v>
      </c>
      <c r="D67">
        <v>10922</v>
      </c>
      <c r="E67">
        <v>5</v>
      </c>
      <c r="F67">
        <v>2017</v>
      </c>
      <c r="G67" s="11" t="s">
        <v>12</v>
      </c>
    </row>
    <row r="68" spans="1:7" x14ac:dyDescent="0.25">
      <c r="A68" s="11" t="s">
        <v>107</v>
      </c>
      <c r="B68" s="11" t="s">
        <v>108</v>
      </c>
      <c r="C68">
        <v>4.8</v>
      </c>
      <c r="D68">
        <v>10922</v>
      </c>
      <c r="E68">
        <v>5</v>
      </c>
      <c r="F68">
        <v>2018</v>
      </c>
      <c r="G68" s="11" t="s">
        <v>12</v>
      </c>
    </row>
    <row r="69" spans="1:7" x14ac:dyDescent="0.25">
      <c r="A69" s="11" t="s">
        <v>109</v>
      </c>
      <c r="B69" s="11" t="s">
        <v>110</v>
      </c>
      <c r="C69">
        <v>4.5999999999999996</v>
      </c>
      <c r="D69">
        <v>2137</v>
      </c>
      <c r="E69">
        <v>17</v>
      </c>
      <c r="F69">
        <v>2010</v>
      </c>
      <c r="G69" s="11" t="s">
        <v>9</v>
      </c>
    </row>
    <row r="70" spans="1:7" x14ac:dyDescent="0.25">
      <c r="A70" s="11" t="s">
        <v>111</v>
      </c>
      <c r="B70" s="11" t="s">
        <v>112</v>
      </c>
      <c r="C70">
        <v>4.5999999999999996</v>
      </c>
      <c r="D70">
        <v>1651</v>
      </c>
      <c r="E70">
        <v>15</v>
      </c>
      <c r="F70">
        <v>2010</v>
      </c>
      <c r="G70" s="11" t="s">
        <v>9</v>
      </c>
    </row>
    <row r="71" spans="1:7" x14ac:dyDescent="0.25">
      <c r="A71" s="11" t="s">
        <v>113</v>
      </c>
      <c r="B71" s="11" t="s">
        <v>114</v>
      </c>
      <c r="C71">
        <v>4.5</v>
      </c>
      <c r="D71">
        <v>6679</v>
      </c>
      <c r="E71">
        <v>105</v>
      </c>
      <c r="F71">
        <v>2013</v>
      </c>
      <c r="G71" s="11" t="s">
        <v>9</v>
      </c>
    </row>
    <row r="72" spans="1:7" x14ac:dyDescent="0.25">
      <c r="A72" s="11" t="s">
        <v>113</v>
      </c>
      <c r="B72" s="11" t="s">
        <v>114</v>
      </c>
      <c r="C72">
        <v>4.5</v>
      </c>
      <c r="D72">
        <v>6679</v>
      </c>
      <c r="E72">
        <v>105</v>
      </c>
      <c r="F72">
        <v>2014</v>
      </c>
      <c r="G72" s="11" t="s">
        <v>9</v>
      </c>
    </row>
    <row r="73" spans="1:7" x14ac:dyDescent="0.25">
      <c r="A73" s="11" t="s">
        <v>115</v>
      </c>
      <c r="B73" s="11" t="s">
        <v>79</v>
      </c>
      <c r="C73">
        <v>4.8</v>
      </c>
      <c r="D73">
        <v>6812</v>
      </c>
      <c r="E73">
        <v>0</v>
      </c>
      <c r="F73">
        <v>2013</v>
      </c>
      <c r="G73" s="11" t="s">
        <v>12</v>
      </c>
    </row>
    <row r="74" spans="1:7" x14ac:dyDescent="0.25">
      <c r="A74" s="11" t="s">
        <v>116</v>
      </c>
      <c r="B74" s="11" t="s">
        <v>79</v>
      </c>
      <c r="C74">
        <v>4.8</v>
      </c>
      <c r="D74">
        <v>3837</v>
      </c>
      <c r="E74">
        <v>15</v>
      </c>
      <c r="F74">
        <v>2009</v>
      </c>
      <c r="G74" s="11" t="s">
        <v>12</v>
      </c>
    </row>
    <row r="75" spans="1:7" x14ac:dyDescent="0.25">
      <c r="A75" s="11" t="s">
        <v>117</v>
      </c>
      <c r="B75" s="11" t="s">
        <v>79</v>
      </c>
      <c r="C75">
        <v>4.8</v>
      </c>
      <c r="D75">
        <v>6540</v>
      </c>
      <c r="E75">
        <v>22</v>
      </c>
      <c r="F75">
        <v>2014</v>
      </c>
      <c r="G75" s="11" t="s">
        <v>12</v>
      </c>
    </row>
    <row r="76" spans="1:7" x14ac:dyDescent="0.25">
      <c r="A76" s="11" t="s">
        <v>118</v>
      </c>
      <c r="B76" s="11" t="s">
        <v>119</v>
      </c>
      <c r="C76">
        <v>4.5999999999999996</v>
      </c>
      <c r="D76">
        <v>7955</v>
      </c>
      <c r="E76">
        <v>5</v>
      </c>
      <c r="F76">
        <v>2019</v>
      </c>
      <c r="G76" s="11" t="s">
        <v>9</v>
      </c>
    </row>
    <row r="77" spans="1:7" x14ac:dyDescent="0.25">
      <c r="A77" s="11" t="s">
        <v>120</v>
      </c>
      <c r="B77" s="11" t="s">
        <v>47</v>
      </c>
      <c r="C77">
        <v>4.5999999999999996</v>
      </c>
      <c r="D77">
        <v>27098</v>
      </c>
      <c r="E77">
        <v>15</v>
      </c>
      <c r="F77">
        <v>2013</v>
      </c>
      <c r="G77" s="11" t="s">
        <v>12</v>
      </c>
    </row>
    <row r="78" spans="1:7" x14ac:dyDescent="0.25">
      <c r="A78" s="11" t="s">
        <v>120</v>
      </c>
      <c r="B78" s="11" t="s">
        <v>47</v>
      </c>
      <c r="C78">
        <v>4.5999999999999996</v>
      </c>
      <c r="D78">
        <v>27098</v>
      </c>
      <c r="E78">
        <v>15</v>
      </c>
      <c r="F78">
        <v>2014</v>
      </c>
      <c r="G78" s="11" t="s">
        <v>12</v>
      </c>
    </row>
    <row r="79" spans="1:7" x14ac:dyDescent="0.25">
      <c r="A79" s="11" t="s">
        <v>121</v>
      </c>
      <c r="B79" s="11" t="s">
        <v>47</v>
      </c>
      <c r="C79">
        <v>4.5</v>
      </c>
      <c r="D79">
        <v>17684</v>
      </c>
      <c r="E79">
        <v>6</v>
      </c>
      <c r="F79">
        <v>2014</v>
      </c>
      <c r="G79" s="11" t="s">
        <v>12</v>
      </c>
    </row>
    <row r="80" spans="1:7" x14ac:dyDescent="0.25">
      <c r="A80" s="11" t="s">
        <v>122</v>
      </c>
      <c r="B80" s="11" t="s">
        <v>123</v>
      </c>
      <c r="C80">
        <v>4.5999999999999996</v>
      </c>
      <c r="D80">
        <v>37</v>
      </c>
      <c r="E80">
        <v>6</v>
      </c>
      <c r="F80">
        <v>2009</v>
      </c>
      <c r="G80" s="11" t="s">
        <v>9</v>
      </c>
    </row>
    <row r="81" spans="1:7" x14ac:dyDescent="0.25">
      <c r="A81" s="11" t="s">
        <v>124</v>
      </c>
      <c r="B81" s="11" t="s">
        <v>11</v>
      </c>
      <c r="C81">
        <v>4.7</v>
      </c>
      <c r="D81">
        <v>15845</v>
      </c>
      <c r="E81">
        <v>13</v>
      </c>
      <c r="F81">
        <v>2013</v>
      </c>
      <c r="G81" s="11" t="s">
        <v>12</v>
      </c>
    </row>
    <row r="82" spans="1:7" x14ac:dyDescent="0.25">
      <c r="A82" s="11" t="s">
        <v>125</v>
      </c>
      <c r="B82" s="11" t="s">
        <v>79</v>
      </c>
      <c r="C82">
        <v>4.8</v>
      </c>
      <c r="D82">
        <v>3181</v>
      </c>
      <c r="E82">
        <v>12</v>
      </c>
      <c r="F82">
        <v>2009</v>
      </c>
      <c r="G82" s="11" t="s">
        <v>12</v>
      </c>
    </row>
    <row r="83" spans="1:7" x14ac:dyDescent="0.25">
      <c r="A83" s="11" t="s">
        <v>126</v>
      </c>
      <c r="B83" s="11" t="s">
        <v>127</v>
      </c>
      <c r="C83">
        <v>4.9000000000000004</v>
      </c>
      <c r="D83">
        <v>5062</v>
      </c>
      <c r="E83">
        <v>6</v>
      </c>
      <c r="F83">
        <v>2018</v>
      </c>
      <c r="G83" s="11" t="s">
        <v>12</v>
      </c>
    </row>
    <row r="84" spans="1:7" x14ac:dyDescent="0.25">
      <c r="A84" s="11" t="s">
        <v>128</v>
      </c>
      <c r="B84" s="11" t="s">
        <v>127</v>
      </c>
      <c r="C84">
        <v>4.9000000000000004</v>
      </c>
      <c r="D84">
        <v>4786</v>
      </c>
      <c r="E84">
        <v>8</v>
      </c>
      <c r="F84">
        <v>2017</v>
      </c>
      <c r="G84" s="11" t="s">
        <v>12</v>
      </c>
    </row>
    <row r="85" spans="1:7" x14ac:dyDescent="0.25">
      <c r="A85" s="11" t="s">
        <v>129</v>
      </c>
      <c r="B85" s="11" t="s">
        <v>127</v>
      </c>
      <c r="C85">
        <v>4.9000000000000004</v>
      </c>
      <c r="D85">
        <v>7235</v>
      </c>
      <c r="E85">
        <v>4</v>
      </c>
      <c r="F85">
        <v>2018</v>
      </c>
      <c r="G85" s="11" t="s">
        <v>12</v>
      </c>
    </row>
    <row r="86" spans="1:7" x14ac:dyDescent="0.25">
      <c r="A86" s="11" t="s">
        <v>129</v>
      </c>
      <c r="B86" s="11" t="s">
        <v>127</v>
      </c>
      <c r="C86">
        <v>4.9000000000000004</v>
      </c>
      <c r="D86">
        <v>7235</v>
      </c>
      <c r="E86">
        <v>4</v>
      </c>
      <c r="F86">
        <v>2019</v>
      </c>
      <c r="G86" s="11" t="s">
        <v>12</v>
      </c>
    </row>
    <row r="87" spans="1:7" x14ac:dyDescent="0.25">
      <c r="A87" s="11" t="s">
        <v>130</v>
      </c>
      <c r="B87" s="11" t="s">
        <v>127</v>
      </c>
      <c r="C87">
        <v>4.9000000000000004</v>
      </c>
      <c r="D87">
        <v>12619</v>
      </c>
      <c r="E87">
        <v>8</v>
      </c>
      <c r="F87">
        <v>2019</v>
      </c>
      <c r="G87" s="11" t="s">
        <v>12</v>
      </c>
    </row>
    <row r="88" spans="1:7" x14ac:dyDescent="0.25">
      <c r="A88" s="11" t="s">
        <v>131</v>
      </c>
      <c r="B88" s="11" t="s">
        <v>127</v>
      </c>
      <c r="C88">
        <v>4.9000000000000004</v>
      </c>
      <c r="D88">
        <v>9089</v>
      </c>
      <c r="E88">
        <v>8</v>
      </c>
      <c r="F88">
        <v>2019</v>
      </c>
      <c r="G88" s="11" t="s">
        <v>12</v>
      </c>
    </row>
    <row r="89" spans="1:7" x14ac:dyDescent="0.25">
      <c r="A89" s="11" t="s">
        <v>132</v>
      </c>
      <c r="B89" s="11" t="s">
        <v>127</v>
      </c>
      <c r="C89">
        <v>4.9000000000000004</v>
      </c>
      <c r="D89">
        <v>5470</v>
      </c>
      <c r="E89">
        <v>6</v>
      </c>
      <c r="F89">
        <v>2018</v>
      </c>
      <c r="G89" s="11" t="s">
        <v>12</v>
      </c>
    </row>
    <row r="90" spans="1:7" x14ac:dyDescent="0.25">
      <c r="A90" s="11" t="s">
        <v>133</v>
      </c>
      <c r="B90" s="11" t="s">
        <v>79</v>
      </c>
      <c r="C90">
        <v>4.8</v>
      </c>
      <c r="D90">
        <v>5118</v>
      </c>
      <c r="E90">
        <v>20</v>
      </c>
      <c r="F90">
        <v>2016</v>
      </c>
      <c r="G90" s="11" t="s">
        <v>12</v>
      </c>
    </row>
    <row r="91" spans="1:7" x14ac:dyDescent="0.25">
      <c r="A91" s="11" t="s">
        <v>134</v>
      </c>
      <c r="B91" s="11" t="s">
        <v>135</v>
      </c>
      <c r="C91">
        <v>4.5999999999999996</v>
      </c>
      <c r="D91">
        <v>2134</v>
      </c>
      <c r="E91">
        <v>5</v>
      </c>
      <c r="F91">
        <v>2015</v>
      </c>
      <c r="G91" s="11" t="s">
        <v>9</v>
      </c>
    </row>
    <row r="92" spans="1:7" x14ac:dyDescent="0.25">
      <c r="A92" s="11" t="s">
        <v>136</v>
      </c>
      <c r="B92" s="11" t="s">
        <v>137</v>
      </c>
      <c r="C92">
        <v>4.5</v>
      </c>
      <c r="D92">
        <v>2525</v>
      </c>
      <c r="E92">
        <v>16</v>
      </c>
      <c r="F92">
        <v>2010</v>
      </c>
      <c r="G92" s="11" t="s">
        <v>9</v>
      </c>
    </row>
    <row r="93" spans="1:7" x14ac:dyDescent="0.25">
      <c r="A93" s="11" t="s">
        <v>138</v>
      </c>
      <c r="B93" s="11" t="s">
        <v>139</v>
      </c>
      <c r="C93">
        <v>4.5</v>
      </c>
      <c r="D93">
        <v>720</v>
      </c>
      <c r="E93">
        <v>1</v>
      </c>
      <c r="F93">
        <v>2009</v>
      </c>
      <c r="G93" s="11" t="s">
        <v>9</v>
      </c>
    </row>
    <row r="94" spans="1:7" x14ac:dyDescent="0.25">
      <c r="A94" s="11" t="s">
        <v>140</v>
      </c>
      <c r="B94" s="11" t="s">
        <v>139</v>
      </c>
      <c r="C94">
        <v>4.3</v>
      </c>
      <c r="D94">
        <v>956</v>
      </c>
      <c r="E94">
        <v>14</v>
      </c>
      <c r="F94">
        <v>2009</v>
      </c>
      <c r="G94" s="11" t="s">
        <v>9</v>
      </c>
    </row>
    <row r="95" spans="1:7" x14ac:dyDescent="0.25">
      <c r="A95" s="11" t="s">
        <v>141</v>
      </c>
      <c r="B95" s="11" t="s">
        <v>142</v>
      </c>
      <c r="C95">
        <v>4.5</v>
      </c>
      <c r="D95">
        <v>6346</v>
      </c>
      <c r="E95">
        <v>9</v>
      </c>
      <c r="F95">
        <v>2011</v>
      </c>
      <c r="G95" s="11" t="s">
        <v>9</v>
      </c>
    </row>
    <row r="96" spans="1:7" x14ac:dyDescent="0.25">
      <c r="A96" s="11" t="s">
        <v>141</v>
      </c>
      <c r="B96" s="11" t="s">
        <v>142</v>
      </c>
      <c r="C96">
        <v>4.5</v>
      </c>
      <c r="D96">
        <v>6346</v>
      </c>
      <c r="E96">
        <v>9</v>
      </c>
      <c r="F96">
        <v>2012</v>
      </c>
      <c r="G96" s="11" t="s">
        <v>9</v>
      </c>
    </row>
    <row r="97" spans="1:7" x14ac:dyDescent="0.25">
      <c r="A97" s="11" t="s">
        <v>143</v>
      </c>
      <c r="B97" s="11" t="s">
        <v>74</v>
      </c>
      <c r="C97">
        <v>4.7</v>
      </c>
      <c r="D97">
        <v>5505</v>
      </c>
      <c r="E97">
        <v>7</v>
      </c>
      <c r="F97">
        <v>2009</v>
      </c>
      <c r="G97" s="11" t="s">
        <v>12</v>
      </c>
    </row>
    <row r="98" spans="1:7" x14ac:dyDescent="0.25">
      <c r="A98" s="11" t="s">
        <v>144</v>
      </c>
      <c r="B98" s="11" t="s">
        <v>74</v>
      </c>
      <c r="C98">
        <v>4.7</v>
      </c>
      <c r="D98">
        <v>5505</v>
      </c>
      <c r="E98">
        <v>18</v>
      </c>
      <c r="F98">
        <v>2009</v>
      </c>
      <c r="G98" s="11" t="s">
        <v>12</v>
      </c>
    </row>
    <row r="99" spans="1:7" x14ac:dyDescent="0.25">
      <c r="A99" s="11" t="s">
        <v>145</v>
      </c>
      <c r="B99" s="11" t="s">
        <v>146</v>
      </c>
      <c r="C99">
        <v>4.7</v>
      </c>
      <c r="D99">
        <v>28729</v>
      </c>
      <c r="E99">
        <v>15</v>
      </c>
      <c r="F99">
        <v>2018</v>
      </c>
      <c r="G99" s="11" t="s">
        <v>9</v>
      </c>
    </row>
    <row r="100" spans="1:7" x14ac:dyDescent="0.25">
      <c r="A100" s="11" t="s">
        <v>145</v>
      </c>
      <c r="B100" s="11" t="s">
        <v>146</v>
      </c>
      <c r="C100">
        <v>4.7</v>
      </c>
      <c r="D100">
        <v>28729</v>
      </c>
      <c r="E100">
        <v>15</v>
      </c>
      <c r="F100">
        <v>2019</v>
      </c>
      <c r="G100" s="11" t="s">
        <v>9</v>
      </c>
    </row>
    <row r="101" spans="1:7" x14ac:dyDescent="0.25">
      <c r="A101" s="11" t="s">
        <v>147</v>
      </c>
      <c r="B101" s="11" t="s">
        <v>148</v>
      </c>
      <c r="C101">
        <v>4.7</v>
      </c>
      <c r="D101">
        <v>5413</v>
      </c>
      <c r="E101">
        <v>9</v>
      </c>
      <c r="F101">
        <v>2015</v>
      </c>
      <c r="G101" s="11" t="s">
        <v>9</v>
      </c>
    </row>
    <row r="102" spans="1:7" x14ac:dyDescent="0.25">
      <c r="A102" s="11" t="s">
        <v>149</v>
      </c>
      <c r="B102" s="11" t="s">
        <v>150</v>
      </c>
      <c r="C102">
        <v>4.5999999999999996</v>
      </c>
      <c r="D102">
        <v>10721</v>
      </c>
      <c r="E102">
        <v>8</v>
      </c>
      <c r="F102">
        <v>2016</v>
      </c>
      <c r="G102" s="11" t="s">
        <v>12</v>
      </c>
    </row>
    <row r="103" spans="1:7" x14ac:dyDescent="0.25">
      <c r="A103" s="11" t="s">
        <v>149</v>
      </c>
      <c r="B103" s="11" t="s">
        <v>150</v>
      </c>
      <c r="C103">
        <v>4.5999999999999996</v>
      </c>
      <c r="D103">
        <v>10721</v>
      </c>
      <c r="E103">
        <v>8</v>
      </c>
      <c r="F103">
        <v>2018</v>
      </c>
      <c r="G103" s="11" t="s">
        <v>12</v>
      </c>
    </row>
    <row r="104" spans="1:7" x14ac:dyDescent="0.25">
      <c r="A104" s="11" t="s">
        <v>151</v>
      </c>
      <c r="B104" s="11" t="s">
        <v>152</v>
      </c>
      <c r="C104">
        <v>4.7</v>
      </c>
      <c r="D104">
        <v>4370</v>
      </c>
      <c r="E104">
        <v>15</v>
      </c>
      <c r="F104">
        <v>2016</v>
      </c>
      <c r="G104" s="11" t="s">
        <v>12</v>
      </c>
    </row>
    <row r="105" spans="1:7" x14ac:dyDescent="0.25">
      <c r="A105" s="11" t="s">
        <v>153</v>
      </c>
      <c r="B105" s="11" t="s">
        <v>154</v>
      </c>
      <c r="C105">
        <v>4.4000000000000004</v>
      </c>
      <c r="D105">
        <v>6042</v>
      </c>
      <c r="E105">
        <v>2</v>
      </c>
      <c r="F105">
        <v>2018</v>
      </c>
      <c r="G105" s="11" t="s">
        <v>9</v>
      </c>
    </row>
    <row r="106" spans="1:7" x14ac:dyDescent="0.25">
      <c r="A106" s="11" t="s">
        <v>155</v>
      </c>
      <c r="B106" s="11" t="s">
        <v>156</v>
      </c>
      <c r="C106">
        <v>4.4000000000000004</v>
      </c>
      <c r="D106">
        <v>23631</v>
      </c>
      <c r="E106">
        <v>7</v>
      </c>
      <c r="F106">
        <v>2012</v>
      </c>
      <c r="G106" s="11" t="s">
        <v>12</v>
      </c>
    </row>
    <row r="107" spans="1:7" x14ac:dyDescent="0.25">
      <c r="A107" s="11" t="s">
        <v>157</v>
      </c>
      <c r="B107" s="11" t="s">
        <v>156</v>
      </c>
      <c r="C107">
        <v>4.5</v>
      </c>
      <c r="D107">
        <v>20262</v>
      </c>
      <c r="E107">
        <v>11</v>
      </c>
      <c r="F107">
        <v>2012</v>
      </c>
      <c r="G107" s="11" t="s">
        <v>12</v>
      </c>
    </row>
    <row r="108" spans="1:7" x14ac:dyDescent="0.25">
      <c r="A108" s="11" t="s">
        <v>158</v>
      </c>
      <c r="B108" s="11" t="s">
        <v>156</v>
      </c>
      <c r="C108">
        <v>3.8</v>
      </c>
      <c r="D108">
        <v>47265</v>
      </c>
      <c r="E108">
        <v>14</v>
      </c>
      <c r="F108">
        <v>2012</v>
      </c>
      <c r="G108" s="11" t="s">
        <v>12</v>
      </c>
    </row>
    <row r="109" spans="1:7" x14ac:dyDescent="0.25">
      <c r="A109" s="11" t="s">
        <v>158</v>
      </c>
      <c r="B109" s="11" t="s">
        <v>156</v>
      </c>
      <c r="C109">
        <v>3.8</v>
      </c>
      <c r="D109">
        <v>47265</v>
      </c>
      <c r="E109">
        <v>14</v>
      </c>
      <c r="F109">
        <v>2013</v>
      </c>
      <c r="G109" s="11" t="s">
        <v>12</v>
      </c>
    </row>
    <row r="110" spans="1:7" x14ac:dyDescent="0.25">
      <c r="A110" s="11" t="s">
        <v>159</v>
      </c>
      <c r="B110" s="11" t="s">
        <v>156</v>
      </c>
      <c r="C110">
        <v>4.5</v>
      </c>
      <c r="D110">
        <v>13964</v>
      </c>
      <c r="E110">
        <v>32</v>
      </c>
      <c r="F110">
        <v>2012</v>
      </c>
      <c r="G110" s="11" t="s">
        <v>12</v>
      </c>
    </row>
    <row r="111" spans="1:7" x14ac:dyDescent="0.25">
      <c r="A111" s="11" t="s">
        <v>160</v>
      </c>
      <c r="B111" s="11" t="s">
        <v>161</v>
      </c>
      <c r="C111">
        <v>4.2</v>
      </c>
      <c r="D111">
        <v>13677</v>
      </c>
      <c r="E111">
        <v>6</v>
      </c>
      <c r="F111">
        <v>2018</v>
      </c>
      <c r="G111" s="11" t="s">
        <v>9</v>
      </c>
    </row>
    <row r="112" spans="1:7" x14ac:dyDescent="0.25">
      <c r="A112" s="11" t="s">
        <v>162</v>
      </c>
      <c r="B112" s="11" t="s">
        <v>163</v>
      </c>
      <c r="C112">
        <v>4.7</v>
      </c>
      <c r="D112">
        <v>17323</v>
      </c>
      <c r="E112">
        <v>4</v>
      </c>
      <c r="F112">
        <v>2014</v>
      </c>
      <c r="G112" s="11" t="s">
        <v>9</v>
      </c>
    </row>
    <row r="113" spans="1:7" x14ac:dyDescent="0.25">
      <c r="A113" s="11" t="s">
        <v>162</v>
      </c>
      <c r="B113" s="11" t="s">
        <v>163</v>
      </c>
      <c r="C113">
        <v>4.7</v>
      </c>
      <c r="D113">
        <v>17323</v>
      </c>
      <c r="E113">
        <v>4</v>
      </c>
      <c r="F113">
        <v>2015</v>
      </c>
      <c r="G113" s="11" t="s">
        <v>9</v>
      </c>
    </row>
    <row r="114" spans="1:7" x14ac:dyDescent="0.25">
      <c r="A114" s="11" t="s">
        <v>162</v>
      </c>
      <c r="B114" s="11" t="s">
        <v>163</v>
      </c>
      <c r="C114">
        <v>4.7</v>
      </c>
      <c r="D114">
        <v>17323</v>
      </c>
      <c r="E114">
        <v>4</v>
      </c>
      <c r="F114">
        <v>2016</v>
      </c>
      <c r="G114" s="11" t="s">
        <v>9</v>
      </c>
    </row>
    <row r="115" spans="1:7" x14ac:dyDescent="0.25">
      <c r="A115" s="11" t="s">
        <v>162</v>
      </c>
      <c r="B115" s="11" t="s">
        <v>163</v>
      </c>
      <c r="C115">
        <v>4.7</v>
      </c>
      <c r="D115">
        <v>17323</v>
      </c>
      <c r="E115">
        <v>4</v>
      </c>
      <c r="F115">
        <v>2017</v>
      </c>
      <c r="G115" s="11" t="s">
        <v>9</v>
      </c>
    </row>
    <row r="116" spans="1:7" x14ac:dyDescent="0.25">
      <c r="A116" s="11" t="s">
        <v>162</v>
      </c>
      <c r="B116" s="11" t="s">
        <v>163</v>
      </c>
      <c r="C116">
        <v>4.7</v>
      </c>
      <c r="D116">
        <v>17323</v>
      </c>
      <c r="E116">
        <v>4</v>
      </c>
      <c r="F116">
        <v>2018</v>
      </c>
      <c r="G116" s="11" t="s">
        <v>9</v>
      </c>
    </row>
    <row r="117" spans="1:7" x14ac:dyDescent="0.25">
      <c r="A117" s="11" t="s">
        <v>164</v>
      </c>
      <c r="B117" s="11" t="s">
        <v>165</v>
      </c>
      <c r="C117">
        <v>4.4000000000000004</v>
      </c>
      <c r="D117">
        <v>1555</v>
      </c>
      <c r="E117">
        <v>9</v>
      </c>
      <c r="F117">
        <v>2010</v>
      </c>
      <c r="G117" s="11" t="s">
        <v>9</v>
      </c>
    </row>
    <row r="118" spans="1:7" x14ac:dyDescent="0.25">
      <c r="A118" s="11" t="s">
        <v>166</v>
      </c>
      <c r="B118" s="11" t="s">
        <v>167</v>
      </c>
      <c r="C118">
        <v>4.7</v>
      </c>
      <c r="D118">
        <v>3642</v>
      </c>
      <c r="E118">
        <v>0</v>
      </c>
      <c r="F118">
        <v>2014</v>
      </c>
      <c r="G118" s="11" t="s">
        <v>12</v>
      </c>
    </row>
    <row r="119" spans="1:7" x14ac:dyDescent="0.25">
      <c r="A119" s="11" t="s">
        <v>168</v>
      </c>
      <c r="B119" s="11" t="s">
        <v>169</v>
      </c>
      <c r="C119">
        <v>4.4000000000000004</v>
      </c>
      <c r="D119">
        <v>1215</v>
      </c>
      <c r="E119">
        <v>9</v>
      </c>
      <c r="F119">
        <v>2010</v>
      </c>
      <c r="G119" s="11" t="s">
        <v>9</v>
      </c>
    </row>
    <row r="120" spans="1:7" x14ac:dyDescent="0.25">
      <c r="A120" s="11" t="s">
        <v>170</v>
      </c>
      <c r="B120" s="11" t="s">
        <v>171</v>
      </c>
      <c r="C120">
        <v>4.5999999999999996</v>
      </c>
      <c r="D120">
        <v>5594</v>
      </c>
      <c r="E120">
        <v>5</v>
      </c>
      <c r="F120">
        <v>2011</v>
      </c>
      <c r="G120" s="11" t="s">
        <v>12</v>
      </c>
    </row>
    <row r="121" spans="1:7" x14ac:dyDescent="0.25">
      <c r="A121" s="11" t="s">
        <v>170</v>
      </c>
      <c r="B121" s="11" t="s">
        <v>171</v>
      </c>
      <c r="C121">
        <v>4.5999999999999996</v>
      </c>
      <c r="D121">
        <v>5594</v>
      </c>
      <c r="E121">
        <v>5</v>
      </c>
      <c r="F121">
        <v>2012</v>
      </c>
      <c r="G121" s="11" t="s">
        <v>12</v>
      </c>
    </row>
    <row r="122" spans="1:7" x14ac:dyDescent="0.25">
      <c r="A122" s="11" t="s">
        <v>170</v>
      </c>
      <c r="B122" s="11" t="s">
        <v>171</v>
      </c>
      <c r="C122">
        <v>4.5999999999999996</v>
      </c>
      <c r="D122">
        <v>5594</v>
      </c>
      <c r="E122">
        <v>5</v>
      </c>
      <c r="F122">
        <v>2013</v>
      </c>
      <c r="G122" s="11" t="s">
        <v>12</v>
      </c>
    </row>
    <row r="123" spans="1:7" x14ac:dyDescent="0.25">
      <c r="A123" s="11" t="s">
        <v>172</v>
      </c>
      <c r="B123" s="11" t="s">
        <v>173</v>
      </c>
      <c r="C123">
        <v>4.5</v>
      </c>
      <c r="D123">
        <v>408</v>
      </c>
      <c r="E123">
        <v>20</v>
      </c>
      <c r="F123">
        <v>2010</v>
      </c>
      <c r="G123" s="11" t="s">
        <v>9</v>
      </c>
    </row>
    <row r="124" spans="1:7" x14ac:dyDescent="0.25">
      <c r="A124" s="11" t="s">
        <v>174</v>
      </c>
      <c r="B124" s="11" t="s">
        <v>175</v>
      </c>
      <c r="C124">
        <v>4.5999999999999996</v>
      </c>
      <c r="D124">
        <v>4799</v>
      </c>
      <c r="E124">
        <v>16</v>
      </c>
      <c r="F124">
        <v>2013</v>
      </c>
      <c r="G124" s="11" t="s">
        <v>9</v>
      </c>
    </row>
    <row r="125" spans="1:7" x14ac:dyDescent="0.25">
      <c r="A125" s="11" t="s">
        <v>176</v>
      </c>
      <c r="B125" s="11" t="s">
        <v>177</v>
      </c>
      <c r="C125">
        <v>4.8</v>
      </c>
      <c r="D125">
        <v>14038</v>
      </c>
      <c r="E125">
        <v>4</v>
      </c>
      <c r="F125">
        <v>2015</v>
      </c>
      <c r="G125" s="11" t="s">
        <v>12</v>
      </c>
    </row>
    <row r="126" spans="1:7" x14ac:dyDescent="0.25">
      <c r="A126" s="11" t="s">
        <v>176</v>
      </c>
      <c r="B126" s="11" t="s">
        <v>177</v>
      </c>
      <c r="C126">
        <v>4.8</v>
      </c>
      <c r="D126">
        <v>14038</v>
      </c>
      <c r="E126">
        <v>4</v>
      </c>
      <c r="F126">
        <v>2016</v>
      </c>
      <c r="G126" s="11" t="s">
        <v>12</v>
      </c>
    </row>
    <row r="127" spans="1:7" x14ac:dyDescent="0.25">
      <c r="A127" s="11" t="s">
        <v>176</v>
      </c>
      <c r="B127" s="11" t="s">
        <v>177</v>
      </c>
      <c r="C127">
        <v>4.8</v>
      </c>
      <c r="D127">
        <v>14038</v>
      </c>
      <c r="E127">
        <v>4</v>
      </c>
      <c r="F127">
        <v>2017</v>
      </c>
      <c r="G127" s="11" t="s">
        <v>12</v>
      </c>
    </row>
    <row r="128" spans="1:7" x14ac:dyDescent="0.25">
      <c r="A128" s="11" t="s">
        <v>176</v>
      </c>
      <c r="B128" s="11" t="s">
        <v>177</v>
      </c>
      <c r="C128">
        <v>4.8</v>
      </c>
      <c r="D128">
        <v>14038</v>
      </c>
      <c r="E128">
        <v>4</v>
      </c>
      <c r="F128">
        <v>2018</v>
      </c>
      <c r="G128" s="11" t="s">
        <v>12</v>
      </c>
    </row>
    <row r="129" spans="1:7" x14ac:dyDescent="0.25">
      <c r="A129" s="11" t="s">
        <v>176</v>
      </c>
      <c r="B129" s="11" t="s">
        <v>177</v>
      </c>
      <c r="C129">
        <v>4.8</v>
      </c>
      <c r="D129">
        <v>14038</v>
      </c>
      <c r="E129">
        <v>4</v>
      </c>
      <c r="F129">
        <v>2019</v>
      </c>
      <c r="G129" s="11" t="s">
        <v>12</v>
      </c>
    </row>
    <row r="130" spans="1:7" x14ac:dyDescent="0.25">
      <c r="A130" s="11" t="s">
        <v>178</v>
      </c>
      <c r="B130" s="11" t="s">
        <v>179</v>
      </c>
      <c r="C130">
        <v>4.5999999999999996</v>
      </c>
      <c r="D130">
        <v>7660</v>
      </c>
      <c r="E130">
        <v>12</v>
      </c>
      <c r="F130">
        <v>2019</v>
      </c>
      <c r="G130" s="11" t="s">
        <v>9</v>
      </c>
    </row>
    <row r="131" spans="1:7" x14ac:dyDescent="0.25">
      <c r="A131" s="11" t="s">
        <v>180</v>
      </c>
      <c r="B131" s="11" t="s">
        <v>179</v>
      </c>
      <c r="C131">
        <v>4.5999999999999996</v>
      </c>
      <c r="D131">
        <v>22288</v>
      </c>
      <c r="E131">
        <v>12</v>
      </c>
      <c r="F131">
        <v>2018</v>
      </c>
      <c r="G131" s="11" t="s">
        <v>9</v>
      </c>
    </row>
    <row r="132" spans="1:7" x14ac:dyDescent="0.25">
      <c r="A132" s="11" t="s">
        <v>180</v>
      </c>
      <c r="B132" s="11" t="s">
        <v>179</v>
      </c>
      <c r="C132">
        <v>4.5999999999999996</v>
      </c>
      <c r="D132">
        <v>22288</v>
      </c>
      <c r="E132">
        <v>12</v>
      </c>
      <c r="F132">
        <v>2019</v>
      </c>
      <c r="G132" s="11" t="s">
        <v>9</v>
      </c>
    </row>
    <row r="133" spans="1:7" x14ac:dyDescent="0.25">
      <c r="A133" s="11" t="s">
        <v>181</v>
      </c>
      <c r="B133" s="11" t="s">
        <v>53</v>
      </c>
      <c r="C133">
        <v>4.5999999999999996</v>
      </c>
      <c r="D133">
        <v>1365</v>
      </c>
      <c r="E133">
        <v>11</v>
      </c>
      <c r="F133">
        <v>2009</v>
      </c>
      <c r="G133" s="11" t="s">
        <v>9</v>
      </c>
    </row>
    <row r="134" spans="1:7" x14ac:dyDescent="0.25">
      <c r="A134" s="11" t="s">
        <v>182</v>
      </c>
      <c r="B134" s="11" t="s">
        <v>183</v>
      </c>
      <c r="C134">
        <v>3.6</v>
      </c>
      <c r="D134">
        <v>14982</v>
      </c>
      <c r="E134">
        <v>19</v>
      </c>
      <c r="F134">
        <v>2015</v>
      </c>
      <c r="G134" s="11" t="s">
        <v>12</v>
      </c>
    </row>
    <row r="135" spans="1:7" x14ac:dyDescent="0.25">
      <c r="A135" s="11" t="s">
        <v>184</v>
      </c>
      <c r="B135" s="11" t="s">
        <v>185</v>
      </c>
      <c r="C135">
        <v>4.8</v>
      </c>
      <c r="D135">
        <v>9568</v>
      </c>
      <c r="E135">
        <v>9</v>
      </c>
      <c r="F135">
        <v>2011</v>
      </c>
      <c r="G135" s="11" t="s">
        <v>12</v>
      </c>
    </row>
    <row r="136" spans="1:7" x14ac:dyDescent="0.25">
      <c r="A136" s="11" t="s">
        <v>186</v>
      </c>
      <c r="B136" s="11" t="s">
        <v>187</v>
      </c>
      <c r="C136">
        <v>4.5999999999999996</v>
      </c>
      <c r="D136">
        <v>1636</v>
      </c>
      <c r="E136">
        <v>6</v>
      </c>
      <c r="F136">
        <v>2009</v>
      </c>
      <c r="G136" s="11" t="s">
        <v>9</v>
      </c>
    </row>
    <row r="137" spans="1:7" x14ac:dyDescent="0.25">
      <c r="A137" s="11" t="s">
        <v>188</v>
      </c>
      <c r="B137" s="11" t="s">
        <v>189</v>
      </c>
      <c r="C137">
        <v>4</v>
      </c>
      <c r="D137">
        <v>57271</v>
      </c>
      <c r="E137">
        <v>10</v>
      </c>
      <c r="F137">
        <v>2012</v>
      </c>
      <c r="G137" s="11" t="s">
        <v>12</v>
      </c>
    </row>
    <row r="138" spans="1:7" x14ac:dyDescent="0.25">
      <c r="A138" s="11" t="s">
        <v>188</v>
      </c>
      <c r="B138" s="11" t="s">
        <v>189</v>
      </c>
      <c r="C138">
        <v>4</v>
      </c>
      <c r="D138">
        <v>57271</v>
      </c>
      <c r="E138">
        <v>10</v>
      </c>
      <c r="F138">
        <v>2013</v>
      </c>
      <c r="G138" s="11" t="s">
        <v>12</v>
      </c>
    </row>
    <row r="139" spans="1:7" x14ac:dyDescent="0.25">
      <c r="A139" s="11" t="s">
        <v>188</v>
      </c>
      <c r="B139" s="11" t="s">
        <v>189</v>
      </c>
      <c r="C139">
        <v>4</v>
      </c>
      <c r="D139">
        <v>57271</v>
      </c>
      <c r="E139">
        <v>9</v>
      </c>
      <c r="F139">
        <v>2014</v>
      </c>
      <c r="G139" s="11" t="s">
        <v>12</v>
      </c>
    </row>
    <row r="140" spans="1:7" x14ac:dyDescent="0.25">
      <c r="A140" s="11" t="s">
        <v>190</v>
      </c>
      <c r="B140" s="11" t="s">
        <v>191</v>
      </c>
      <c r="C140">
        <v>4.5999999999999996</v>
      </c>
      <c r="D140">
        <v>10141</v>
      </c>
      <c r="E140">
        <v>6</v>
      </c>
      <c r="F140">
        <v>2019</v>
      </c>
      <c r="G140" s="11" t="s">
        <v>9</v>
      </c>
    </row>
    <row r="141" spans="1:7" x14ac:dyDescent="0.25">
      <c r="A141" s="11" t="s">
        <v>192</v>
      </c>
      <c r="B141" s="11" t="s">
        <v>193</v>
      </c>
      <c r="C141">
        <v>4.5</v>
      </c>
      <c r="D141">
        <v>3457</v>
      </c>
      <c r="E141">
        <v>14</v>
      </c>
      <c r="F141">
        <v>2009</v>
      </c>
      <c r="G141" s="11" t="s">
        <v>9</v>
      </c>
    </row>
    <row r="142" spans="1:7" x14ac:dyDescent="0.25">
      <c r="A142" s="11" t="s">
        <v>192</v>
      </c>
      <c r="B142" s="11" t="s">
        <v>193</v>
      </c>
      <c r="C142">
        <v>4.5</v>
      </c>
      <c r="D142">
        <v>3457</v>
      </c>
      <c r="E142">
        <v>14</v>
      </c>
      <c r="F142">
        <v>2010</v>
      </c>
      <c r="G142" s="11" t="s">
        <v>9</v>
      </c>
    </row>
    <row r="143" spans="1:7" x14ac:dyDescent="0.25">
      <c r="A143" s="11" t="s">
        <v>192</v>
      </c>
      <c r="B143" s="11" t="s">
        <v>193</v>
      </c>
      <c r="C143">
        <v>4.5</v>
      </c>
      <c r="D143">
        <v>3457</v>
      </c>
      <c r="E143">
        <v>14</v>
      </c>
      <c r="F143">
        <v>2011</v>
      </c>
      <c r="G143" s="11" t="s">
        <v>9</v>
      </c>
    </row>
    <row r="144" spans="1:7" x14ac:dyDescent="0.25">
      <c r="A144" s="11" t="s">
        <v>192</v>
      </c>
      <c r="B144" s="11" t="s">
        <v>193</v>
      </c>
      <c r="C144">
        <v>4.5</v>
      </c>
      <c r="D144">
        <v>3457</v>
      </c>
      <c r="E144">
        <v>14</v>
      </c>
      <c r="F144">
        <v>2012</v>
      </c>
      <c r="G144" s="11" t="s">
        <v>9</v>
      </c>
    </row>
    <row r="145" spans="1:7" x14ac:dyDescent="0.25">
      <c r="A145" s="11" t="s">
        <v>194</v>
      </c>
      <c r="B145" s="11" t="s">
        <v>195</v>
      </c>
      <c r="C145">
        <v>4.8</v>
      </c>
      <c r="D145">
        <v>8837</v>
      </c>
      <c r="E145">
        <v>5</v>
      </c>
      <c r="F145">
        <v>2017</v>
      </c>
      <c r="G145" s="11" t="s">
        <v>12</v>
      </c>
    </row>
    <row r="146" spans="1:7" x14ac:dyDescent="0.25">
      <c r="A146" s="11" t="s">
        <v>194</v>
      </c>
      <c r="B146" s="11" t="s">
        <v>195</v>
      </c>
      <c r="C146">
        <v>4.8</v>
      </c>
      <c r="D146">
        <v>8837</v>
      </c>
      <c r="E146">
        <v>5</v>
      </c>
      <c r="F146">
        <v>2018</v>
      </c>
      <c r="G146" s="11" t="s">
        <v>12</v>
      </c>
    </row>
    <row r="147" spans="1:7" x14ac:dyDescent="0.25">
      <c r="A147" s="11" t="s">
        <v>194</v>
      </c>
      <c r="B147" s="11" t="s">
        <v>195</v>
      </c>
      <c r="C147">
        <v>4.8</v>
      </c>
      <c r="D147">
        <v>8837</v>
      </c>
      <c r="E147">
        <v>5</v>
      </c>
      <c r="F147">
        <v>2019</v>
      </c>
      <c r="G147" s="11" t="s">
        <v>12</v>
      </c>
    </row>
    <row r="148" spans="1:7" x14ac:dyDescent="0.25">
      <c r="A148" s="11" t="s">
        <v>196</v>
      </c>
      <c r="B148" s="11" t="s">
        <v>197</v>
      </c>
      <c r="C148">
        <v>4.9000000000000004</v>
      </c>
      <c r="D148">
        <v>7038</v>
      </c>
      <c r="E148">
        <v>7</v>
      </c>
      <c r="F148">
        <v>2012</v>
      </c>
      <c r="G148" s="11" t="s">
        <v>12</v>
      </c>
    </row>
    <row r="149" spans="1:7" x14ac:dyDescent="0.25">
      <c r="A149" s="11" t="s">
        <v>196</v>
      </c>
      <c r="B149" s="11" t="s">
        <v>197</v>
      </c>
      <c r="C149">
        <v>4.9000000000000004</v>
      </c>
      <c r="D149">
        <v>7038</v>
      </c>
      <c r="E149">
        <v>7</v>
      </c>
      <c r="F149">
        <v>2013</v>
      </c>
      <c r="G149" s="11" t="s">
        <v>12</v>
      </c>
    </row>
    <row r="150" spans="1:7" x14ac:dyDescent="0.25">
      <c r="A150" s="11" t="s">
        <v>198</v>
      </c>
      <c r="B150" s="11" t="s">
        <v>199</v>
      </c>
      <c r="C150">
        <v>4.5999999999999996</v>
      </c>
      <c r="D150">
        <v>5972</v>
      </c>
      <c r="E150">
        <v>10</v>
      </c>
      <c r="F150">
        <v>2014</v>
      </c>
      <c r="G150" s="11" t="s">
        <v>9</v>
      </c>
    </row>
    <row r="151" spans="1:7" x14ac:dyDescent="0.25">
      <c r="A151" s="11" t="s">
        <v>200</v>
      </c>
      <c r="B151" s="11" t="s">
        <v>156</v>
      </c>
      <c r="C151">
        <v>4.4000000000000004</v>
      </c>
      <c r="D151">
        <v>25624</v>
      </c>
      <c r="E151">
        <v>14</v>
      </c>
      <c r="F151">
        <v>2015</v>
      </c>
      <c r="G151" s="11" t="s">
        <v>12</v>
      </c>
    </row>
    <row r="152" spans="1:7" x14ac:dyDescent="0.25">
      <c r="A152" s="11" t="s">
        <v>201</v>
      </c>
      <c r="B152" s="11" t="s">
        <v>202</v>
      </c>
      <c r="C152">
        <v>4.8</v>
      </c>
      <c r="D152">
        <v>5476</v>
      </c>
      <c r="E152">
        <v>7</v>
      </c>
      <c r="F152">
        <v>2019</v>
      </c>
      <c r="G152" s="11" t="s">
        <v>9</v>
      </c>
    </row>
    <row r="153" spans="1:7" x14ac:dyDescent="0.25">
      <c r="A153" s="11" t="s">
        <v>203</v>
      </c>
      <c r="B153" s="11" t="s">
        <v>204</v>
      </c>
      <c r="C153">
        <v>4.9000000000000004</v>
      </c>
      <c r="D153">
        <v>5867</v>
      </c>
      <c r="E153">
        <v>54</v>
      </c>
      <c r="F153">
        <v>2016</v>
      </c>
      <c r="G153" s="11" t="s">
        <v>9</v>
      </c>
    </row>
    <row r="154" spans="1:7" x14ac:dyDescent="0.25">
      <c r="A154" s="11" t="s">
        <v>205</v>
      </c>
      <c r="B154" s="11" t="s">
        <v>206</v>
      </c>
      <c r="C154">
        <v>4.8</v>
      </c>
      <c r="D154">
        <v>4148</v>
      </c>
      <c r="E154">
        <v>11</v>
      </c>
      <c r="F154">
        <v>2013</v>
      </c>
      <c r="G154" s="11" t="s">
        <v>9</v>
      </c>
    </row>
    <row r="155" spans="1:7" x14ac:dyDescent="0.25">
      <c r="A155" s="11" t="s">
        <v>207</v>
      </c>
      <c r="B155" s="11" t="s">
        <v>152</v>
      </c>
      <c r="C155">
        <v>4.9000000000000004</v>
      </c>
      <c r="D155">
        <v>19622</v>
      </c>
      <c r="E155">
        <v>30</v>
      </c>
      <c r="F155">
        <v>2016</v>
      </c>
      <c r="G155" s="11" t="s">
        <v>12</v>
      </c>
    </row>
    <row r="156" spans="1:7" x14ac:dyDescent="0.25">
      <c r="A156" s="11" t="s">
        <v>208</v>
      </c>
      <c r="B156" s="11" t="s">
        <v>152</v>
      </c>
      <c r="C156">
        <v>4</v>
      </c>
      <c r="D156">
        <v>23973</v>
      </c>
      <c r="E156">
        <v>12</v>
      </c>
      <c r="F156">
        <v>2016</v>
      </c>
      <c r="G156" s="11" t="s">
        <v>12</v>
      </c>
    </row>
    <row r="157" spans="1:7" x14ac:dyDescent="0.25">
      <c r="A157" s="11" t="s">
        <v>209</v>
      </c>
      <c r="B157" s="11" t="s">
        <v>210</v>
      </c>
      <c r="C157">
        <v>4.9000000000000004</v>
      </c>
      <c r="D157">
        <v>7758</v>
      </c>
      <c r="E157">
        <v>18</v>
      </c>
      <c r="F157">
        <v>2019</v>
      </c>
      <c r="G157" s="11" t="s">
        <v>12</v>
      </c>
    </row>
    <row r="158" spans="1:7" x14ac:dyDescent="0.25">
      <c r="A158" s="11" t="s">
        <v>211</v>
      </c>
      <c r="B158" s="11" t="s">
        <v>152</v>
      </c>
      <c r="C158">
        <v>4.9000000000000004</v>
      </c>
      <c r="D158">
        <v>3146</v>
      </c>
      <c r="E158">
        <v>30</v>
      </c>
      <c r="F158">
        <v>2017</v>
      </c>
      <c r="G158" s="11" t="s">
        <v>12</v>
      </c>
    </row>
    <row r="159" spans="1:7" x14ac:dyDescent="0.25">
      <c r="A159" s="11" t="s">
        <v>212</v>
      </c>
      <c r="B159" s="11" t="s">
        <v>152</v>
      </c>
      <c r="C159">
        <v>4.9000000000000004</v>
      </c>
      <c r="D159">
        <v>10052</v>
      </c>
      <c r="E159">
        <v>22</v>
      </c>
      <c r="F159">
        <v>2016</v>
      </c>
      <c r="G159" s="11" t="s">
        <v>12</v>
      </c>
    </row>
    <row r="160" spans="1:7" x14ac:dyDescent="0.25">
      <c r="A160" s="11" t="s">
        <v>213</v>
      </c>
      <c r="B160" s="11" t="s">
        <v>214</v>
      </c>
      <c r="C160">
        <v>4.7</v>
      </c>
      <c r="D160">
        <v>3564</v>
      </c>
      <c r="E160">
        <v>9</v>
      </c>
      <c r="F160">
        <v>2015</v>
      </c>
      <c r="G160" s="11" t="s">
        <v>9</v>
      </c>
    </row>
    <row r="161" spans="1:7" x14ac:dyDescent="0.25">
      <c r="A161" s="11" t="s">
        <v>215</v>
      </c>
      <c r="B161" s="11" t="s">
        <v>210</v>
      </c>
      <c r="C161">
        <v>4.8</v>
      </c>
      <c r="D161">
        <v>13471</v>
      </c>
      <c r="E161">
        <v>52</v>
      </c>
      <c r="F161">
        <v>2016</v>
      </c>
      <c r="G161" s="11" t="s">
        <v>12</v>
      </c>
    </row>
    <row r="162" spans="1:7" x14ac:dyDescent="0.25">
      <c r="A162" s="11" t="s">
        <v>216</v>
      </c>
      <c r="B162" s="11" t="s">
        <v>217</v>
      </c>
      <c r="C162">
        <v>4.8</v>
      </c>
      <c r="D162">
        <v>1930</v>
      </c>
      <c r="E162">
        <v>4</v>
      </c>
      <c r="F162">
        <v>2009</v>
      </c>
      <c r="G162" s="11" t="s">
        <v>9</v>
      </c>
    </row>
    <row r="163" spans="1:7" x14ac:dyDescent="0.25">
      <c r="A163" s="11" t="s">
        <v>218</v>
      </c>
      <c r="B163" s="11" t="s">
        <v>219</v>
      </c>
      <c r="C163">
        <v>4.7</v>
      </c>
      <c r="D163">
        <v>15779</v>
      </c>
      <c r="E163">
        <v>10</v>
      </c>
      <c r="F163">
        <v>2011</v>
      </c>
      <c r="G163" s="11" t="s">
        <v>9</v>
      </c>
    </row>
    <row r="164" spans="1:7" x14ac:dyDescent="0.25">
      <c r="A164" s="11" t="s">
        <v>218</v>
      </c>
      <c r="B164" s="11" t="s">
        <v>219</v>
      </c>
      <c r="C164">
        <v>4.7</v>
      </c>
      <c r="D164">
        <v>15779</v>
      </c>
      <c r="E164">
        <v>10</v>
      </c>
      <c r="F164">
        <v>2012</v>
      </c>
      <c r="G164" s="11" t="s">
        <v>9</v>
      </c>
    </row>
    <row r="165" spans="1:7" x14ac:dyDescent="0.25">
      <c r="A165" s="11" t="s">
        <v>220</v>
      </c>
      <c r="B165" s="11" t="s">
        <v>221</v>
      </c>
      <c r="C165">
        <v>4.4000000000000004</v>
      </c>
      <c r="D165">
        <v>15526</v>
      </c>
      <c r="E165">
        <v>14</v>
      </c>
      <c r="F165">
        <v>2016</v>
      </c>
      <c r="G165" s="11" t="s">
        <v>9</v>
      </c>
    </row>
    <row r="166" spans="1:7" x14ac:dyDescent="0.25">
      <c r="A166" s="11" t="s">
        <v>220</v>
      </c>
      <c r="B166" s="11" t="s">
        <v>221</v>
      </c>
      <c r="C166">
        <v>4.4000000000000004</v>
      </c>
      <c r="D166">
        <v>15526</v>
      </c>
      <c r="E166">
        <v>14</v>
      </c>
      <c r="F166">
        <v>2017</v>
      </c>
      <c r="G166" s="11" t="s">
        <v>9</v>
      </c>
    </row>
    <row r="167" spans="1:7" x14ac:dyDescent="0.25">
      <c r="A167" s="11" t="s">
        <v>222</v>
      </c>
      <c r="B167" s="11" t="s">
        <v>223</v>
      </c>
      <c r="C167">
        <v>4.8</v>
      </c>
      <c r="D167">
        <v>3776</v>
      </c>
      <c r="E167">
        <v>22</v>
      </c>
      <c r="F167">
        <v>2018</v>
      </c>
      <c r="G167" s="11" t="s">
        <v>9</v>
      </c>
    </row>
    <row r="168" spans="1:7" x14ac:dyDescent="0.25">
      <c r="A168" s="11" t="s">
        <v>224</v>
      </c>
      <c r="B168" s="11" t="s">
        <v>225</v>
      </c>
      <c r="C168">
        <v>4.7</v>
      </c>
      <c r="D168">
        <v>25001</v>
      </c>
      <c r="E168">
        <v>11</v>
      </c>
      <c r="F168">
        <v>2014</v>
      </c>
      <c r="G168" s="11" t="s">
        <v>9</v>
      </c>
    </row>
    <row r="169" spans="1:7" x14ac:dyDescent="0.25">
      <c r="A169" s="11" t="s">
        <v>224</v>
      </c>
      <c r="B169" s="11" t="s">
        <v>225</v>
      </c>
      <c r="C169">
        <v>4.7</v>
      </c>
      <c r="D169">
        <v>25001</v>
      </c>
      <c r="E169">
        <v>11</v>
      </c>
      <c r="F169">
        <v>2015</v>
      </c>
      <c r="G169" s="11" t="s">
        <v>9</v>
      </c>
    </row>
    <row r="170" spans="1:7" x14ac:dyDescent="0.25">
      <c r="A170" s="11" t="s">
        <v>224</v>
      </c>
      <c r="B170" s="11" t="s">
        <v>225</v>
      </c>
      <c r="C170">
        <v>4.7</v>
      </c>
      <c r="D170">
        <v>25001</v>
      </c>
      <c r="E170">
        <v>11</v>
      </c>
      <c r="F170">
        <v>2016</v>
      </c>
      <c r="G170" s="11" t="s">
        <v>9</v>
      </c>
    </row>
    <row r="171" spans="1:7" x14ac:dyDescent="0.25">
      <c r="A171" s="11" t="s">
        <v>224</v>
      </c>
      <c r="B171" s="11" t="s">
        <v>225</v>
      </c>
      <c r="C171">
        <v>4.7</v>
      </c>
      <c r="D171">
        <v>25001</v>
      </c>
      <c r="E171">
        <v>11</v>
      </c>
      <c r="F171">
        <v>2017</v>
      </c>
      <c r="G171" s="11" t="s">
        <v>9</v>
      </c>
    </row>
    <row r="172" spans="1:7" x14ac:dyDescent="0.25">
      <c r="A172" s="11" t="s">
        <v>224</v>
      </c>
      <c r="B172" s="11" t="s">
        <v>225</v>
      </c>
      <c r="C172">
        <v>4.7</v>
      </c>
      <c r="D172">
        <v>25001</v>
      </c>
      <c r="E172">
        <v>11</v>
      </c>
      <c r="F172">
        <v>2018</v>
      </c>
      <c r="G172" s="11" t="s">
        <v>9</v>
      </c>
    </row>
    <row r="173" spans="1:7" x14ac:dyDescent="0.25">
      <c r="A173" s="11" t="s">
        <v>226</v>
      </c>
      <c r="B173" s="11" t="s">
        <v>227</v>
      </c>
      <c r="C173">
        <v>4.3</v>
      </c>
      <c r="D173">
        <v>5272</v>
      </c>
      <c r="E173">
        <v>16</v>
      </c>
      <c r="F173">
        <v>2019</v>
      </c>
      <c r="G173" s="11" t="s">
        <v>9</v>
      </c>
    </row>
    <row r="174" spans="1:7" x14ac:dyDescent="0.25">
      <c r="A174" s="11" t="s">
        <v>228</v>
      </c>
      <c r="B174" s="11" t="s">
        <v>229</v>
      </c>
      <c r="C174">
        <v>4.8</v>
      </c>
      <c r="D174">
        <v>3490</v>
      </c>
      <c r="E174">
        <v>15</v>
      </c>
      <c r="F174">
        <v>2013</v>
      </c>
      <c r="G174" s="11" t="s">
        <v>9</v>
      </c>
    </row>
    <row r="175" spans="1:7" x14ac:dyDescent="0.25">
      <c r="A175" s="11" t="s">
        <v>228</v>
      </c>
      <c r="B175" s="11" t="s">
        <v>229</v>
      </c>
      <c r="C175">
        <v>4.8</v>
      </c>
      <c r="D175">
        <v>3490</v>
      </c>
      <c r="E175">
        <v>15</v>
      </c>
      <c r="F175">
        <v>2014</v>
      </c>
      <c r="G175" s="11" t="s">
        <v>9</v>
      </c>
    </row>
    <row r="176" spans="1:7" x14ac:dyDescent="0.25">
      <c r="A176" s="11" t="s">
        <v>230</v>
      </c>
      <c r="B176" s="11" t="s">
        <v>229</v>
      </c>
      <c r="C176">
        <v>4.9000000000000004</v>
      </c>
      <c r="D176">
        <v>2812</v>
      </c>
      <c r="E176">
        <v>17</v>
      </c>
      <c r="F176">
        <v>2015</v>
      </c>
      <c r="G176" s="11" t="s">
        <v>9</v>
      </c>
    </row>
    <row r="177" spans="1:7" x14ac:dyDescent="0.25">
      <c r="A177" s="11" t="s">
        <v>231</v>
      </c>
      <c r="B177" s="11" t="s">
        <v>232</v>
      </c>
      <c r="C177">
        <v>4.7</v>
      </c>
      <c r="D177">
        <v>4896</v>
      </c>
      <c r="E177">
        <v>17</v>
      </c>
      <c r="F177">
        <v>2013</v>
      </c>
      <c r="G177" s="11" t="s">
        <v>9</v>
      </c>
    </row>
    <row r="178" spans="1:7" x14ac:dyDescent="0.25">
      <c r="A178" s="11" t="s">
        <v>233</v>
      </c>
      <c r="B178" s="11" t="s">
        <v>234</v>
      </c>
      <c r="C178">
        <v>4.8</v>
      </c>
      <c r="D178">
        <v>9737</v>
      </c>
      <c r="E178">
        <v>7</v>
      </c>
      <c r="F178">
        <v>2019</v>
      </c>
      <c r="G178" s="11" t="s">
        <v>9</v>
      </c>
    </row>
    <row r="179" spans="1:7" x14ac:dyDescent="0.25">
      <c r="A179" s="11" t="s">
        <v>235</v>
      </c>
      <c r="B179" s="11" t="s">
        <v>236</v>
      </c>
      <c r="C179">
        <v>4.5999999999999996</v>
      </c>
      <c r="D179">
        <v>1320</v>
      </c>
      <c r="E179">
        <v>7</v>
      </c>
      <c r="F179">
        <v>2009</v>
      </c>
      <c r="G179" s="11" t="s">
        <v>12</v>
      </c>
    </row>
    <row r="180" spans="1:7" x14ac:dyDescent="0.25">
      <c r="A180" s="11" t="s">
        <v>237</v>
      </c>
      <c r="B180" s="11" t="s">
        <v>238</v>
      </c>
      <c r="C180">
        <v>4.8</v>
      </c>
      <c r="D180">
        <v>16643</v>
      </c>
      <c r="E180">
        <v>4</v>
      </c>
      <c r="F180">
        <v>2017</v>
      </c>
      <c r="G180" s="11" t="s">
        <v>12</v>
      </c>
    </row>
    <row r="181" spans="1:7" x14ac:dyDescent="0.25">
      <c r="A181" s="11" t="s">
        <v>237</v>
      </c>
      <c r="B181" s="11" t="s">
        <v>238</v>
      </c>
      <c r="C181">
        <v>4.8</v>
      </c>
      <c r="D181">
        <v>16643</v>
      </c>
      <c r="E181">
        <v>4</v>
      </c>
      <c r="F181">
        <v>2019</v>
      </c>
      <c r="G181" s="11" t="s">
        <v>12</v>
      </c>
    </row>
    <row r="182" spans="1:7" x14ac:dyDescent="0.25">
      <c r="A182" s="11" t="s">
        <v>239</v>
      </c>
      <c r="B182" s="11" t="s">
        <v>240</v>
      </c>
      <c r="C182">
        <v>4.3</v>
      </c>
      <c r="D182">
        <v>7153</v>
      </c>
      <c r="E182">
        <v>9</v>
      </c>
      <c r="F182">
        <v>2014</v>
      </c>
      <c r="G182" s="11" t="s">
        <v>12</v>
      </c>
    </row>
    <row r="183" spans="1:7" x14ac:dyDescent="0.25">
      <c r="A183" s="11" t="s">
        <v>241</v>
      </c>
      <c r="B183" s="11" t="s">
        <v>242</v>
      </c>
      <c r="C183">
        <v>4.4000000000000004</v>
      </c>
      <c r="D183">
        <v>4571</v>
      </c>
      <c r="E183">
        <v>21</v>
      </c>
      <c r="F183">
        <v>2011</v>
      </c>
      <c r="G183" s="11" t="s">
        <v>9</v>
      </c>
    </row>
    <row r="184" spans="1:7" x14ac:dyDescent="0.25">
      <c r="A184" s="11" t="s">
        <v>243</v>
      </c>
      <c r="B184" s="11" t="s">
        <v>244</v>
      </c>
      <c r="C184">
        <v>4.0999999999999996</v>
      </c>
      <c r="D184">
        <v>29651</v>
      </c>
      <c r="E184">
        <v>14</v>
      </c>
      <c r="F184">
        <v>2013</v>
      </c>
      <c r="G184" s="11" t="s">
        <v>12</v>
      </c>
    </row>
    <row r="185" spans="1:7" x14ac:dyDescent="0.25">
      <c r="A185" s="11" t="s">
        <v>245</v>
      </c>
      <c r="B185" s="11" t="s">
        <v>246</v>
      </c>
      <c r="C185">
        <v>4.5999999999999996</v>
      </c>
      <c r="D185">
        <v>5299</v>
      </c>
      <c r="E185">
        <v>20</v>
      </c>
      <c r="F185">
        <v>2011</v>
      </c>
      <c r="G185" s="11" t="s">
        <v>12</v>
      </c>
    </row>
    <row r="186" spans="1:7" x14ac:dyDescent="0.25">
      <c r="A186" s="11" t="s">
        <v>247</v>
      </c>
      <c r="B186" s="11" t="s">
        <v>248</v>
      </c>
      <c r="C186">
        <v>4.4000000000000004</v>
      </c>
      <c r="D186">
        <v>7396</v>
      </c>
      <c r="E186">
        <v>13</v>
      </c>
      <c r="F186">
        <v>2019</v>
      </c>
      <c r="G186" s="11" t="s">
        <v>9</v>
      </c>
    </row>
    <row r="187" spans="1:7" x14ac:dyDescent="0.25">
      <c r="A187" s="11" t="s">
        <v>247</v>
      </c>
      <c r="B187" s="11" t="s">
        <v>248</v>
      </c>
      <c r="C187">
        <v>4.4000000000000004</v>
      </c>
      <c r="D187">
        <v>7396</v>
      </c>
      <c r="E187">
        <v>13</v>
      </c>
      <c r="F187">
        <v>2018</v>
      </c>
      <c r="G187" s="11" t="s">
        <v>9</v>
      </c>
    </row>
    <row r="188" spans="1:7" x14ac:dyDescent="0.25">
      <c r="A188" s="11" t="s">
        <v>249</v>
      </c>
      <c r="B188" s="11" t="s">
        <v>250</v>
      </c>
      <c r="C188">
        <v>4.8</v>
      </c>
      <c r="D188">
        <v>7062</v>
      </c>
      <c r="E188">
        <v>12</v>
      </c>
      <c r="F188">
        <v>2019</v>
      </c>
      <c r="G188" s="11" t="s">
        <v>9</v>
      </c>
    </row>
    <row r="189" spans="1:7" x14ac:dyDescent="0.25">
      <c r="A189" s="11" t="s">
        <v>251</v>
      </c>
      <c r="B189" s="11" t="s">
        <v>252</v>
      </c>
      <c r="C189">
        <v>4.9000000000000004</v>
      </c>
      <c r="D189">
        <v>19576</v>
      </c>
      <c r="E189">
        <v>8</v>
      </c>
      <c r="F189">
        <v>2011</v>
      </c>
      <c r="G189" s="11" t="s">
        <v>9</v>
      </c>
    </row>
    <row r="190" spans="1:7" x14ac:dyDescent="0.25">
      <c r="A190" s="11" t="s">
        <v>251</v>
      </c>
      <c r="B190" s="11" t="s">
        <v>252</v>
      </c>
      <c r="C190">
        <v>4.9000000000000004</v>
      </c>
      <c r="D190">
        <v>19576</v>
      </c>
      <c r="E190">
        <v>8</v>
      </c>
      <c r="F190">
        <v>2012</v>
      </c>
      <c r="G190" s="11" t="s">
        <v>9</v>
      </c>
    </row>
    <row r="191" spans="1:7" x14ac:dyDescent="0.25">
      <c r="A191" s="11" t="s">
        <v>251</v>
      </c>
      <c r="B191" s="11" t="s">
        <v>252</v>
      </c>
      <c r="C191">
        <v>4.9000000000000004</v>
      </c>
      <c r="D191">
        <v>19576</v>
      </c>
      <c r="E191">
        <v>8</v>
      </c>
      <c r="F191">
        <v>2013</v>
      </c>
      <c r="G191" s="11" t="s">
        <v>9</v>
      </c>
    </row>
    <row r="192" spans="1:7" x14ac:dyDescent="0.25">
      <c r="A192" s="11" t="s">
        <v>251</v>
      </c>
      <c r="B192" s="11" t="s">
        <v>252</v>
      </c>
      <c r="C192">
        <v>4.9000000000000004</v>
      </c>
      <c r="D192">
        <v>19576</v>
      </c>
      <c r="E192">
        <v>8</v>
      </c>
      <c r="F192">
        <v>2014</v>
      </c>
      <c r="G192" s="11" t="s">
        <v>9</v>
      </c>
    </row>
    <row r="193" spans="1:7" x14ac:dyDescent="0.25">
      <c r="A193" s="11" t="s">
        <v>251</v>
      </c>
      <c r="B193" s="11" t="s">
        <v>252</v>
      </c>
      <c r="C193">
        <v>4.9000000000000004</v>
      </c>
      <c r="D193">
        <v>19576</v>
      </c>
      <c r="E193">
        <v>8</v>
      </c>
      <c r="F193">
        <v>2015</v>
      </c>
      <c r="G193" s="11" t="s">
        <v>9</v>
      </c>
    </row>
    <row r="194" spans="1:7" x14ac:dyDescent="0.25">
      <c r="A194" s="11" t="s">
        <v>251</v>
      </c>
      <c r="B194" s="11" t="s">
        <v>252</v>
      </c>
      <c r="C194">
        <v>4.9000000000000004</v>
      </c>
      <c r="D194">
        <v>19576</v>
      </c>
      <c r="E194">
        <v>8</v>
      </c>
      <c r="F194">
        <v>2016</v>
      </c>
      <c r="G194" s="11" t="s">
        <v>9</v>
      </c>
    </row>
    <row r="195" spans="1:7" x14ac:dyDescent="0.25">
      <c r="A195" s="11" t="s">
        <v>253</v>
      </c>
      <c r="B195" s="11" t="s">
        <v>167</v>
      </c>
      <c r="C195">
        <v>4.5999999999999996</v>
      </c>
      <c r="D195">
        <v>978</v>
      </c>
      <c r="E195">
        <v>0</v>
      </c>
      <c r="F195">
        <v>2014</v>
      </c>
      <c r="G195" s="11" t="s">
        <v>12</v>
      </c>
    </row>
    <row r="196" spans="1:7" x14ac:dyDescent="0.25">
      <c r="A196" s="11" t="s">
        <v>254</v>
      </c>
      <c r="B196" s="11" t="s">
        <v>11</v>
      </c>
      <c r="C196">
        <v>4.5</v>
      </c>
      <c r="D196">
        <v>4748</v>
      </c>
      <c r="E196">
        <v>12</v>
      </c>
      <c r="F196">
        <v>2013</v>
      </c>
      <c r="G196" s="11" t="s">
        <v>12</v>
      </c>
    </row>
    <row r="197" spans="1:7" x14ac:dyDescent="0.25">
      <c r="A197" s="11" t="s">
        <v>255</v>
      </c>
      <c r="B197" s="11" t="s">
        <v>256</v>
      </c>
      <c r="C197">
        <v>4.5999999999999996</v>
      </c>
      <c r="D197">
        <v>8393</v>
      </c>
      <c r="E197">
        <v>17</v>
      </c>
      <c r="F197">
        <v>2017</v>
      </c>
      <c r="G197" s="11" t="s">
        <v>9</v>
      </c>
    </row>
    <row r="198" spans="1:7" x14ac:dyDescent="0.25">
      <c r="A198" s="11" t="s">
        <v>257</v>
      </c>
      <c r="B198" s="11" t="s">
        <v>258</v>
      </c>
      <c r="C198">
        <v>4.5</v>
      </c>
      <c r="D198">
        <v>11391</v>
      </c>
      <c r="E198">
        <v>12</v>
      </c>
      <c r="F198">
        <v>2013</v>
      </c>
      <c r="G198" s="11" t="s">
        <v>9</v>
      </c>
    </row>
    <row r="199" spans="1:7" x14ac:dyDescent="0.25">
      <c r="A199" s="11" t="s">
        <v>259</v>
      </c>
      <c r="B199" s="11" t="s">
        <v>258</v>
      </c>
      <c r="C199">
        <v>4.5999999999999996</v>
      </c>
      <c r="D199">
        <v>8634</v>
      </c>
      <c r="E199">
        <v>25</v>
      </c>
      <c r="F199">
        <v>2012</v>
      </c>
      <c r="G199" s="11" t="s">
        <v>9</v>
      </c>
    </row>
    <row r="200" spans="1:7" x14ac:dyDescent="0.25">
      <c r="A200" s="11" t="s">
        <v>260</v>
      </c>
      <c r="B200" s="11" t="s">
        <v>258</v>
      </c>
      <c r="C200">
        <v>4.7</v>
      </c>
      <c r="D200">
        <v>9342</v>
      </c>
      <c r="E200">
        <v>10</v>
      </c>
      <c r="F200">
        <v>2011</v>
      </c>
      <c r="G200" s="11" t="s">
        <v>9</v>
      </c>
    </row>
    <row r="201" spans="1:7" x14ac:dyDescent="0.25">
      <c r="A201" s="11" t="s">
        <v>260</v>
      </c>
      <c r="B201" s="11" t="s">
        <v>258</v>
      </c>
      <c r="C201">
        <v>4.7</v>
      </c>
      <c r="D201">
        <v>9342</v>
      </c>
      <c r="E201">
        <v>10</v>
      </c>
      <c r="F201">
        <v>2012</v>
      </c>
      <c r="G201" s="11" t="s">
        <v>9</v>
      </c>
    </row>
    <row r="202" spans="1:7" x14ac:dyDescent="0.25">
      <c r="A202" s="11" t="s">
        <v>261</v>
      </c>
      <c r="B202" s="11" t="s">
        <v>258</v>
      </c>
      <c r="C202">
        <v>4.5999999999999996</v>
      </c>
      <c r="D202">
        <v>10927</v>
      </c>
      <c r="E202">
        <v>6</v>
      </c>
      <c r="F202">
        <v>2014</v>
      </c>
      <c r="G202" s="11" t="s">
        <v>9</v>
      </c>
    </row>
    <row r="203" spans="1:7" x14ac:dyDescent="0.25">
      <c r="A203" s="11" t="s">
        <v>262</v>
      </c>
      <c r="B203" s="11" t="s">
        <v>258</v>
      </c>
      <c r="C203">
        <v>4.5999999999999996</v>
      </c>
      <c r="D203">
        <v>5235</v>
      </c>
      <c r="E203">
        <v>5</v>
      </c>
      <c r="F203">
        <v>2015</v>
      </c>
      <c r="G203" s="11" t="s">
        <v>9</v>
      </c>
    </row>
    <row r="204" spans="1:7" x14ac:dyDescent="0.25">
      <c r="A204" s="11" t="s">
        <v>263</v>
      </c>
      <c r="B204" s="11" t="s">
        <v>258</v>
      </c>
      <c r="C204">
        <v>4.8</v>
      </c>
      <c r="D204">
        <v>8916</v>
      </c>
      <c r="E204">
        <v>6</v>
      </c>
      <c r="F204">
        <v>2016</v>
      </c>
      <c r="G204" s="11" t="s">
        <v>9</v>
      </c>
    </row>
    <row r="205" spans="1:7" x14ac:dyDescent="0.25">
      <c r="A205" s="11" t="s">
        <v>264</v>
      </c>
      <c r="B205" s="11" t="s">
        <v>265</v>
      </c>
      <c r="C205">
        <v>4.8</v>
      </c>
      <c r="D205">
        <v>2507</v>
      </c>
      <c r="E205">
        <v>8</v>
      </c>
      <c r="F205">
        <v>2018</v>
      </c>
      <c r="G205" s="11" t="s">
        <v>9</v>
      </c>
    </row>
    <row r="206" spans="1:7" x14ac:dyDescent="0.25">
      <c r="A206" s="11" t="s">
        <v>266</v>
      </c>
      <c r="B206" s="11" t="s">
        <v>267</v>
      </c>
      <c r="C206">
        <v>4.5</v>
      </c>
      <c r="D206">
        <v>3673</v>
      </c>
      <c r="E206">
        <v>4</v>
      </c>
      <c r="F206">
        <v>2013</v>
      </c>
      <c r="G206" s="11" t="s">
        <v>9</v>
      </c>
    </row>
    <row r="207" spans="1:7" x14ac:dyDescent="0.25">
      <c r="A207" s="11" t="s">
        <v>266</v>
      </c>
      <c r="B207" s="11" t="s">
        <v>267</v>
      </c>
      <c r="C207">
        <v>4.5</v>
      </c>
      <c r="D207">
        <v>3673</v>
      </c>
      <c r="E207">
        <v>4</v>
      </c>
      <c r="F207">
        <v>2014</v>
      </c>
      <c r="G207" s="11" t="s">
        <v>9</v>
      </c>
    </row>
    <row r="208" spans="1:7" x14ac:dyDescent="0.25">
      <c r="A208" s="11" t="s">
        <v>266</v>
      </c>
      <c r="B208" s="11" t="s">
        <v>267</v>
      </c>
      <c r="C208">
        <v>4.5</v>
      </c>
      <c r="D208">
        <v>3673</v>
      </c>
      <c r="E208">
        <v>4</v>
      </c>
      <c r="F208">
        <v>2015</v>
      </c>
      <c r="G208" s="11" t="s">
        <v>9</v>
      </c>
    </row>
    <row r="209" spans="1:7" x14ac:dyDescent="0.25">
      <c r="A209" s="11" t="s">
        <v>268</v>
      </c>
      <c r="B209" s="11" t="s">
        <v>269</v>
      </c>
      <c r="C209">
        <v>4.9000000000000004</v>
      </c>
      <c r="D209">
        <v>11881</v>
      </c>
      <c r="E209">
        <v>13</v>
      </c>
      <c r="F209">
        <v>2018</v>
      </c>
      <c r="G209" s="11" t="s">
        <v>12</v>
      </c>
    </row>
    <row r="210" spans="1:7" x14ac:dyDescent="0.25">
      <c r="A210" s="11" t="s">
        <v>270</v>
      </c>
      <c r="B210" s="11" t="s">
        <v>267</v>
      </c>
      <c r="C210">
        <v>4.5999999999999996</v>
      </c>
      <c r="D210">
        <v>6990</v>
      </c>
      <c r="E210">
        <v>4</v>
      </c>
      <c r="F210">
        <v>2013</v>
      </c>
      <c r="G210" s="11" t="s">
        <v>9</v>
      </c>
    </row>
    <row r="211" spans="1:7" x14ac:dyDescent="0.25">
      <c r="A211" s="11" t="s">
        <v>270</v>
      </c>
      <c r="B211" s="11" t="s">
        <v>267</v>
      </c>
      <c r="C211">
        <v>4.5999999999999996</v>
      </c>
      <c r="D211">
        <v>6990</v>
      </c>
      <c r="E211">
        <v>4</v>
      </c>
      <c r="F211">
        <v>2014</v>
      </c>
      <c r="G211" s="11" t="s">
        <v>9</v>
      </c>
    </row>
    <row r="212" spans="1:7" x14ac:dyDescent="0.25">
      <c r="A212" s="11" t="s">
        <v>270</v>
      </c>
      <c r="B212" s="11" t="s">
        <v>267</v>
      </c>
      <c r="C212">
        <v>4.5999999999999996</v>
      </c>
      <c r="D212">
        <v>6990</v>
      </c>
      <c r="E212">
        <v>4</v>
      </c>
      <c r="F212">
        <v>2015</v>
      </c>
      <c r="G212" s="11" t="s">
        <v>9</v>
      </c>
    </row>
    <row r="213" spans="1:7" x14ac:dyDescent="0.25">
      <c r="A213" s="11" t="s">
        <v>270</v>
      </c>
      <c r="B213" s="11" t="s">
        <v>267</v>
      </c>
      <c r="C213">
        <v>4.5999999999999996</v>
      </c>
      <c r="D213">
        <v>6990</v>
      </c>
      <c r="E213">
        <v>4</v>
      </c>
      <c r="F213">
        <v>2016</v>
      </c>
      <c r="G213" s="11" t="s">
        <v>9</v>
      </c>
    </row>
    <row r="214" spans="1:7" x14ac:dyDescent="0.25">
      <c r="A214" s="11" t="s">
        <v>270</v>
      </c>
      <c r="B214" s="11" t="s">
        <v>267</v>
      </c>
      <c r="C214">
        <v>4.5999999999999996</v>
      </c>
      <c r="D214">
        <v>6990</v>
      </c>
      <c r="E214">
        <v>4</v>
      </c>
      <c r="F214">
        <v>2017</v>
      </c>
      <c r="G214" s="11" t="s">
        <v>9</v>
      </c>
    </row>
    <row r="215" spans="1:7" x14ac:dyDescent="0.25">
      <c r="A215" s="11" t="s">
        <v>271</v>
      </c>
      <c r="B215" s="11" t="s">
        <v>272</v>
      </c>
      <c r="C215">
        <v>4.5</v>
      </c>
      <c r="D215">
        <v>6132</v>
      </c>
      <c r="E215">
        <v>13</v>
      </c>
      <c r="F215">
        <v>2013</v>
      </c>
      <c r="G215" s="11" t="s">
        <v>9</v>
      </c>
    </row>
    <row r="216" spans="1:7" x14ac:dyDescent="0.25">
      <c r="A216" s="11" t="s">
        <v>273</v>
      </c>
      <c r="B216" s="11" t="s">
        <v>274</v>
      </c>
      <c r="C216">
        <v>4.5</v>
      </c>
      <c r="D216">
        <v>3014</v>
      </c>
      <c r="E216">
        <v>21</v>
      </c>
      <c r="F216">
        <v>2017</v>
      </c>
      <c r="G216" s="11" t="s">
        <v>9</v>
      </c>
    </row>
    <row r="217" spans="1:7" x14ac:dyDescent="0.25">
      <c r="A217" s="11" t="s">
        <v>275</v>
      </c>
      <c r="B217" s="11" t="s">
        <v>276</v>
      </c>
      <c r="C217">
        <v>4.4000000000000004</v>
      </c>
      <c r="D217">
        <v>7550</v>
      </c>
      <c r="E217">
        <v>6</v>
      </c>
      <c r="F217">
        <v>2018</v>
      </c>
      <c r="G217" s="11" t="s">
        <v>9</v>
      </c>
    </row>
    <row r="218" spans="1:7" x14ac:dyDescent="0.25">
      <c r="A218" s="11" t="s">
        <v>277</v>
      </c>
      <c r="B218" s="11" t="s">
        <v>278</v>
      </c>
      <c r="C218">
        <v>4.8</v>
      </c>
      <c r="D218">
        <v>3828</v>
      </c>
      <c r="E218">
        <v>15</v>
      </c>
      <c r="F218">
        <v>2009</v>
      </c>
      <c r="G218" s="11" t="s">
        <v>9</v>
      </c>
    </row>
    <row r="219" spans="1:7" x14ac:dyDescent="0.25">
      <c r="A219" s="11" t="s">
        <v>279</v>
      </c>
      <c r="B219" s="11" t="s">
        <v>280</v>
      </c>
      <c r="C219">
        <v>4.5</v>
      </c>
      <c r="D219">
        <v>2752</v>
      </c>
      <c r="E219">
        <v>18</v>
      </c>
      <c r="F219">
        <v>2010</v>
      </c>
      <c r="G219" s="11" t="s">
        <v>9</v>
      </c>
    </row>
    <row r="220" spans="1:7" x14ac:dyDescent="0.25">
      <c r="A220" s="11" t="s">
        <v>281</v>
      </c>
      <c r="B220" s="11" t="s">
        <v>282</v>
      </c>
      <c r="C220">
        <v>4.0999999999999996</v>
      </c>
      <c r="D220">
        <v>1467</v>
      </c>
      <c r="E220">
        <v>10</v>
      </c>
      <c r="F220">
        <v>2010</v>
      </c>
      <c r="G220" s="11" t="s">
        <v>12</v>
      </c>
    </row>
    <row r="221" spans="1:7" x14ac:dyDescent="0.25">
      <c r="A221" s="11" t="s">
        <v>283</v>
      </c>
      <c r="B221" s="11" t="s">
        <v>284</v>
      </c>
      <c r="C221">
        <v>4.9000000000000004</v>
      </c>
      <c r="D221">
        <v>1884</v>
      </c>
      <c r="E221">
        <v>0</v>
      </c>
      <c r="F221">
        <v>2014</v>
      </c>
      <c r="G221" s="11" t="s">
        <v>12</v>
      </c>
    </row>
    <row r="222" spans="1:7" x14ac:dyDescent="0.25">
      <c r="A222" s="11" t="s">
        <v>285</v>
      </c>
      <c r="B222" s="11" t="s">
        <v>286</v>
      </c>
      <c r="C222">
        <v>4.5</v>
      </c>
      <c r="D222">
        <v>25706</v>
      </c>
      <c r="E222">
        <v>12</v>
      </c>
      <c r="F222">
        <v>2018</v>
      </c>
      <c r="G222" s="11" t="s">
        <v>12</v>
      </c>
    </row>
    <row r="223" spans="1:7" x14ac:dyDescent="0.25">
      <c r="A223" s="11" t="s">
        <v>287</v>
      </c>
      <c r="B223" s="11" t="s">
        <v>288</v>
      </c>
      <c r="C223">
        <v>4.5</v>
      </c>
      <c r="D223">
        <v>8491</v>
      </c>
      <c r="E223">
        <v>7</v>
      </c>
      <c r="F223">
        <v>2014</v>
      </c>
      <c r="G223" s="11" t="s">
        <v>12</v>
      </c>
    </row>
    <row r="224" spans="1:7" x14ac:dyDescent="0.25">
      <c r="A224" s="11" t="s">
        <v>289</v>
      </c>
      <c r="B224" s="11" t="s">
        <v>290</v>
      </c>
      <c r="C224">
        <v>4.2</v>
      </c>
      <c r="D224">
        <v>1649</v>
      </c>
      <c r="E224">
        <v>13</v>
      </c>
      <c r="F224">
        <v>2011</v>
      </c>
      <c r="G224" s="11" t="s">
        <v>9</v>
      </c>
    </row>
    <row r="225" spans="1:7" x14ac:dyDescent="0.25">
      <c r="A225" s="11" t="s">
        <v>291</v>
      </c>
      <c r="B225" s="11" t="s">
        <v>292</v>
      </c>
      <c r="C225">
        <v>4.8</v>
      </c>
      <c r="D225">
        <v>18613</v>
      </c>
      <c r="E225">
        <v>5</v>
      </c>
      <c r="F225">
        <v>2014</v>
      </c>
      <c r="G225" s="11" t="s">
        <v>12</v>
      </c>
    </row>
    <row r="226" spans="1:7" x14ac:dyDescent="0.25">
      <c r="A226" s="11" t="s">
        <v>291</v>
      </c>
      <c r="B226" s="11" t="s">
        <v>292</v>
      </c>
      <c r="C226">
        <v>4.8</v>
      </c>
      <c r="D226">
        <v>18613</v>
      </c>
      <c r="E226">
        <v>5</v>
      </c>
      <c r="F226">
        <v>2015</v>
      </c>
      <c r="G226" s="11" t="s">
        <v>12</v>
      </c>
    </row>
    <row r="227" spans="1:7" x14ac:dyDescent="0.25">
      <c r="A227" s="11" t="s">
        <v>293</v>
      </c>
      <c r="B227" s="11" t="s">
        <v>223</v>
      </c>
      <c r="C227">
        <v>4.8</v>
      </c>
      <c r="D227">
        <v>9867</v>
      </c>
      <c r="E227">
        <v>16</v>
      </c>
      <c r="F227">
        <v>2018</v>
      </c>
      <c r="G227" s="11" t="s">
        <v>9</v>
      </c>
    </row>
    <row r="228" spans="1:7" x14ac:dyDescent="0.25">
      <c r="A228" s="11" t="s">
        <v>294</v>
      </c>
      <c r="B228" s="11" t="s">
        <v>63</v>
      </c>
      <c r="C228">
        <v>4.5</v>
      </c>
      <c r="D228">
        <v>1386</v>
      </c>
      <c r="E228">
        <v>20</v>
      </c>
      <c r="F228">
        <v>2014</v>
      </c>
      <c r="G228" s="11" t="s">
        <v>9</v>
      </c>
    </row>
    <row r="229" spans="1:7" x14ac:dyDescent="0.25">
      <c r="A229" s="11" t="s">
        <v>295</v>
      </c>
      <c r="B229" s="11" t="s">
        <v>296</v>
      </c>
      <c r="C229">
        <v>4.7</v>
      </c>
      <c r="D229">
        <v>10199</v>
      </c>
      <c r="E229">
        <v>11</v>
      </c>
      <c r="F229">
        <v>2017</v>
      </c>
      <c r="G229" s="11" t="s">
        <v>9</v>
      </c>
    </row>
    <row r="230" spans="1:7" x14ac:dyDescent="0.25">
      <c r="A230" s="11" t="s">
        <v>297</v>
      </c>
      <c r="B230" s="11" t="s">
        <v>298</v>
      </c>
      <c r="C230">
        <v>4.8</v>
      </c>
      <c r="D230">
        <v>2926</v>
      </c>
      <c r="E230">
        <v>27</v>
      </c>
      <c r="F230">
        <v>2009</v>
      </c>
      <c r="G230" s="11" t="s">
        <v>9</v>
      </c>
    </row>
    <row r="231" spans="1:7" x14ac:dyDescent="0.25">
      <c r="A231" s="11" t="s">
        <v>299</v>
      </c>
      <c r="B231" s="11" t="s">
        <v>300</v>
      </c>
      <c r="C231">
        <v>4.7</v>
      </c>
      <c r="D231">
        <v>17739</v>
      </c>
      <c r="E231">
        <v>8</v>
      </c>
      <c r="F231">
        <v>2016</v>
      </c>
      <c r="G231" s="11" t="s">
        <v>9</v>
      </c>
    </row>
    <row r="232" spans="1:7" x14ac:dyDescent="0.25">
      <c r="A232" s="11" t="s">
        <v>299</v>
      </c>
      <c r="B232" s="11" t="s">
        <v>300</v>
      </c>
      <c r="C232">
        <v>4.7</v>
      </c>
      <c r="D232">
        <v>17739</v>
      </c>
      <c r="E232">
        <v>8</v>
      </c>
      <c r="F232">
        <v>2017</v>
      </c>
      <c r="G232" s="11" t="s">
        <v>9</v>
      </c>
    </row>
    <row r="233" spans="1:7" x14ac:dyDescent="0.25">
      <c r="A233" s="11" t="s">
        <v>299</v>
      </c>
      <c r="B233" s="11" t="s">
        <v>300</v>
      </c>
      <c r="C233">
        <v>4.7</v>
      </c>
      <c r="D233">
        <v>17739</v>
      </c>
      <c r="E233">
        <v>8</v>
      </c>
      <c r="F233">
        <v>2018</v>
      </c>
      <c r="G233" s="11" t="s">
        <v>9</v>
      </c>
    </row>
    <row r="234" spans="1:7" x14ac:dyDescent="0.25">
      <c r="A234" s="11" t="s">
        <v>301</v>
      </c>
      <c r="B234" s="11" t="s">
        <v>302</v>
      </c>
      <c r="C234">
        <v>4.4000000000000004</v>
      </c>
      <c r="D234">
        <v>3113</v>
      </c>
      <c r="E234">
        <v>6</v>
      </c>
      <c r="F234">
        <v>2017</v>
      </c>
      <c r="G234" s="11" t="s">
        <v>9</v>
      </c>
    </row>
    <row r="235" spans="1:7" x14ac:dyDescent="0.25">
      <c r="A235" s="11" t="s">
        <v>303</v>
      </c>
      <c r="B235" s="11" t="s">
        <v>304</v>
      </c>
      <c r="C235">
        <v>4.5999999999999996</v>
      </c>
      <c r="D235">
        <v>5542</v>
      </c>
      <c r="E235">
        <v>10</v>
      </c>
      <c r="F235">
        <v>2014</v>
      </c>
      <c r="G235" s="11" t="s">
        <v>9</v>
      </c>
    </row>
    <row r="236" spans="1:7" x14ac:dyDescent="0.25">
      <c r="A236" s="11" t="s">
        <v>303</v>
      </c>
      <c r="B236" s="11" t="s">
        <v>304</v>
      </c>
      <c r="C236">
        <v>4.5999999999999996</v>
      </c>
      <c r="D236">
        <v>5542</v>
      </c>
      <c r="E236">
        <v>10</v>
      </c>
      <c r="F236">
        <v>2015</v>
      </c>
      <c r="G236" s="11" t="s">
        <v>9</v>
      </c>
    </row>
    <row r="237" spans="1:7" x14ac:dyDescent="0.25">
      <c r="A237" s="11" t="s">
        <v>303</v>
      </c>
      <c r="B237" s="11" t="s">
        <v>304</v>
      </c>
      <c r="C237">
        <v>4.5999999999999996</v>
      </c>
      <c r="D237">
        <v>5542</v>
      </c>
      <c r="E237">
        <v>10</v>
      </c>
      <c r="F237">
        <v>2016</v>
      </c>
      <c r="G237" s="11" t="s">
        <v>9</v>
      </c>
    </row>
    <row r="238" spans="1:7" x14ac:dyDescent="0.25">
      <c r="A238" s="11" t="s">
        <v>305</v>
      </c>
      <c r="B238" s="11" t="s">
        <v>87</v>
      </c>
      <c r="C238">
        <v>4.5</v>
      </c>
      <c r="D238">
        <v>26741</v>
      </c>
      <c r="E238">
        <v>8</v>
      </c>
      <c r="F238">
        <v>2010</v>
      </c>
      <c r="G238" s="11" t="s">
        <v>12</v>
      </c>
    </row>
    <row r="239" spans="1:7" x14ac:dyDescent="0.25">
      <c r="A239" s="11" t="s">
        <v>305</v>
      </c>
      <c r="B239" s="11" t="s">
        <v>87</v>
      </c>
      <c r="C239">
        <v>4.5</v>
      </c>
      <c r="D239">
        <v>26741</v>
      </c>
      <c r="E239">
        <v>8</v>
      </c>
      <c r="F239">
        <v>2011</v>
      </c>
      <c r="G239" s="11" t="s">
        <v>12</v>
      </c>
    </row>
    <row r="240" spans="1:7" x14ac:dyDescent="0.25">
      <c r="A240" s="11" t="s">
        <v>305</v>
      </c>
      <c r="B240" s="11" t="s">
        <v>87</v>
      </c>
      <c r="C240">
        <v>4.5</v>
      </c>
      <c r="D240">
        <v>26741</v>
      </c>
      <c r="E240">
        <v>8</v>
      </c>
      <c r="F240">
        <v>2012</v>
      </c>
      <c r="G240" s="11" t="s">
        <v>12</v>
      </c>
    </row>
    <row r="241" spans="1:7" x14ac:dyDescent="0.25">
      <c r="A241" s="11" t="s">
        <v>306</v>
      </c>
      <c r="B241" s="11" t="s">
        <v>307</v>
      </c>
      <c r="C241">
        <v>4.8</v>
      </c>
      <c r="D241">
        <v>5347</v>
      </c>
      <c r="E241">
        <v>16</v>
      </c>
      <c r="F241">
        <v>2019</v>
      </c>
      <c r="G241" s="11" t="s">
        <v>9</v>
      </c>
    </row>
    <row r="242" spans="1:7" x14ac:dyDescent="0.25">
      <c r="A242" s="11" t="s">
        <v>308</v>
      </c>
      <c r="B242" s="11" t="s">
        <v>309</v>
      </c>
      <c r="C242">
        <v>4.8</v>
      </c>
      <c r="D242">
        <v>7866</v>
      </c>
      <c r="E242">
        <v>11</v>
      </c>
      <c r="F242">
        <v>2019</v>
      </c>
      <c r="G242" s="11" t="s">
        <v>9</v>
      </c>
    </row>
    <row r="243" spans="1:7" x14ac:dyDescent="0.25">
      <c r="A243" s="11" t="s">
        <v>310</v>
      </c>
      <c r="B243" s="11" t="s">
        <v>74</v>
      </c>
      <c r="C243">
        <v>4.5999999999999996</v>
      </c>
      <c r="D243">
        <v>5680</v>
      </c>
      <c r="E243">
        <v>10</v>
      </c>
      <c r="F243">
        <v>2009</v>
      </c>
      <c r="G243" s="11" t="s">
        <v>12</v>
      </c>
    </row>
    <row r="244" spans="1:7" x14ac:dyDescent="0.25">
      <c r="A244" s="11" t="s">
        <v>311</v>
      </c>
      <c r="B244" s="11" t="s">
        <v>312</v>
      </c>
      <c r="C244">
        <v>4.7</v>
      </c>
      <c r="D244">
        <v>5178</v>
      </c>
      <c r="E244">
        <v>9</v>
      </c>
      <c r="F244">
        <v>2016</v>
      </c>
      <c r="G244" s="11" t="s">
        <v>9</v>
      </c>
    </row>
    <row r="245" spans="1:7" x14ac:dyDescent="0.25">
      <c r="A245" s="11" t="s">
        <v>313</v>
      </c>
      <c r="B245" s="11" t="s">
        <v>314</v>
      </c>
      <c r="C245">
        <v>4.5999999999999996</v>
      </c>
      <c r="D245">
        <v>8093</v>
      </c>
      <c r="E245">
        <v>14</v>
      </c>
      <c r="F245">
        <v>2012</v>
      </c>
      <c r="G245" s="11" t="s">
        <v>9</v>
      </c>
    </row>
    <row r="246" spans="1:7" x14ac:dyDescent="0.25">
      <c r="A246" s="11" t="s">
        <v>315</v>
      </c>
      <c r="B246" s="11" t="s">
        <v>316</v>
      </c>
      <c r="C246">
        <v>4.9000000000000004</v>
      </c>
      <c r="D246">
        <v>3192</v>
      </c>
      <c r="E246">
        <v>22</v>
      </c>
      <c r="F246">
        <v>2017</v>
      </c>
      <c r="G246" s="11" t="s">
        <v>9</v>
      </c>
    </row>
    <row r="247" spans="1:7" x14ac:dyDescent="0.25">
      <c r="A247" s="11" t="s">
        <v>317</v>
      </c>
      <c r="B247" s="11" t="s">
        <v>318</v>
      </c>
      <c r="C247">
        <v>4.9000000000000004</v>
      </c>
      <c r="D247">
        <v>21834</v>
      </c>
      <c r="E247">
        <v>8</v>
      </c>
      <c r="F247">
        <v>2012</v>
      </c>
      <c r="G247" s="11" t="s">
        <v>12</v>
      </c>
    </row>
    <row r="248" spans="1:7" x14ac:dyDescent="0.25">
      <c r="A248" s="11" t="s">
        <v>317</v>
      </c>
      <c r="B248" s="11" t="s">
        <v>318</v>
      </c>
      <c r="C248">
        <v>4.9000000000000004</v>
      </c>
      <c r="D248">
        <v>21834</v>
      </c>
      <c r="E248">
        <v>8</v>
      </c>
      <c r="F248">
        <v>2013</v>
      </c>
      <c r="G248" s="11" t="s">
        <v>12</v>
      </c>
    </row>
    <row r="249" spans="1:7" x14ac:dyDescent="0.25">
      <c r="A249" s="11" t="s">
        <v>317</v>
      </c>
      <c r="B249" s="11" t="s">
        <v>318</v>
      </c>
      <c r="C249">
        <v>4.9000000000000004</v>
      </c>
      <c r="D249">
        <v>21834</v>
      </c>
      <c r="E249">
        <v>8</v>
      </c>
      <c r="F249">
        <v>2014</v>
      </c>
      <c r="G249" s="11" t="s">
        <v>12</v>
      </c>
    </row>
    <row r="250" spans="1:7" x14ac:dyDescent="0.25">
      <c r="A250" s="11" t="s">
        <v>317</v>
      </c>
      <c r="B250" s="11" t="s">
        <v>318</v>
      </c>
      <c r="C250">
        <v>4.9000000000000004</v>
      </c>
      <c r="D250">
        <v>21834</v>
      </c>
      <c r="E250">
        <v>8</v>
      </c>
      <c r="F250">
        <v>2015</v>
      </c>
      <c r="G250" s="11" t="s">
        <v>12</v>
      </c>
    </row>
    <row r="251" spans="1:7" x14ac:dyDescent="0.25">
      <c r="A251" s="11" t="s">
        <v>317</v>
      </c>
      <c r="B251" s="11" t="s">
        <v>318</v>
      </c>
      <c r="C251">
        <v>4.9000000000000004</v>
      </c>
      <c r="D251">
        <v>21834</v>
      </c>
      <c r="E251">
        <v>8</v>
      </c>
      <c r="F251">
        <v>2016</v>
      </c>
      <c r="G251" s="11" t="s">
        <v>12</v>
      </c>
    </row>
    <row r="252" spans="1:7" x14ac:dyDescent="0.25">
      <c r="A252" s="11" t="s">
        <v>317</v>
      </c>
      <c r="B252" s="11" t="s">
        <v>318</v>
      </c>
      <c r="C252">
        <v>4.9000000000000004</v>
      </c>
      <c r="D252">
        <v>21834</v>
      </c>
      <c r="E252">
        <v>8</v>
      </c>
      <c r="F252">
        <v>2017</v>
      </c>
      <c r="G252" s="11" t="s">
        <v>12</v>
      </c>
    </row>
    <row r="253" spans="1:7" x14ac:dyDescent="0.25">
      <c r="A253" s="11" t="s">
        <v>317</v>
      </c>
      <c r="B253" s="11" t="s">
        <v>318</v>
      </c>
      <c r="C253">
        <v>4.9000000000000004</v>
      </c>
      <c r="D253">
        <v>21834</v>
      </c>
      <c r="E253">
        <v>8</v>
      </c>
      <c r="F253">
        <v>2018</v>
      </c>
      <c r="G253" s="11" t="s">
        <v>12</v>
      </c>
    </row>
    <row r="254" spans="1:7" x14ac:dyDescent="0.25">
      <c r="A254" s="11" t="s">
        <v>317</v>
      </c>
      <c r="B254" s="11" t="s">
        <v>318</v>
      </c>
      <c r="C254">
        <v>4.9000000000000004</v>
      </c>
      <c r="D254">
        <v>21834</v>
      </c>
      <c r="E254">
        <v>8</v>
      </c>
      <c r="F254">
        <v>2019</v>
      </c>
      <c r="G254" s="11" t="s">
        <v>12</v>
      </c>
    </row>
    <row r="255" spans="1:7" x14ac:dyDescent="0.25">
      <c r="A255" s="11" t="s">
        <v>319</v>
      </c>
      <c r="B255" s="11" t="s">
        <v>79</v>
      </c>
      <c r="C255">
        <v>4.8</v>
      </c>
      <c r="D255">
        <v>6169</v>
      </c>
      <c r="E255">
        <v>7</v>
      </c>
      <c r="F255">
        <v>2015</v>
      </c>
      <c r="G255" s="11" t="s">
        <v>12</v>
      </c>
    </row>
    <row r="256" spans="1:7" x14ac:dyDescent="0.25">
      <c r="A256" s="11" t="s">
        <v>320</v>
      </c>
      <c r="B256" s="11" t="s">
        <v>321</v>
      </c>
      <c r="C256">
        <v>4.2</v>
      </c>
      <c r="D256">
        <v>4519</v>
      </c>
      <c r="E256">
        <v>12</v>
      </c>
      <c r="F256">
        <v>2009</v>
      </c>
      <c r="G256" s="11" t="s">
        <v>12</v>
      </c>
    </row>
    <row r="257" spans="1:7" x14ac:dyDescent="0.25">
      <c r="A257" s="11" t="s">
        <v>322</v>
      </c>
      <c r="B257" s="11" t="s">
        <v>323</v>
      </c>
      <c r="C257">
        <v>4.5999999999999996</v>
      </c>
      <c r="D257">
        <v>3163</v>
      </c>
      <c r="E257">
        <v>13</v>
      </c>
      <c r="F257">
        <v>2011</v>
      </c>
      <c r="G257" s="11" t="s">
        <v>9</v>
      </c>
    </row>
    <row r="258" spans="1:7" x14ac:dyDescent="0.25">
      <c r="A258" s="11" t="s">
        <v>322</v>
      </c>
      <c r="B258" s="11" t="s">
        <v>323</v>
      </c>
      <c r="C258">
        <v>4.5999999999999996</v>
      </c>
      <c r="D258">
        <v>3163</v>
      </c>
      <c r="E258">
        <v>13</v>
      </c>
      <c r="F258">
        <v>2012</v>
      </c>
      <c r="G258" s="11" t="s">
        <v>9</v>
      </c>
    </row>
    <row r="259" spans="1:7" x14ac:dyDescent="0.25">
      <c r="A259" s="11" t="s">
        <v>324</v>
      </c>
      <c r="B259" s="11" t="s">
        <v>272</v>
      </c>
      <c r="C259">
        <v>4.5</v>
      </c>
      <c r="D259">
        <v>1831</v>
      </c>
      <c r="E259">
        <v>9</v>
      </c>
      <c r="F259">
        <v>2017</v>
      </c>
      <c r="G259" s="11" t="s">
        <v>9</v>
      </c>
    </row>
    <row r="260" spans="1:7" x14ac:dyDescent="0.25">
      <c r="A260" s="11" t="s">
        <v>325</v>
      </c>
      <c r="B260" s="11" t="s">
        <v>244</v>
      </c>
      <c r="C260">
        <v>4.3</v>
      </c>
      <c r="D260">
        <v>18904</v>
      </c>
      <c r="E260">
        <v>13</v>
      </c>
      <c r="F260">
        <v>2017</v>
      </c>
      <c r="G260" s="11" t="s">
        <v>12</v>
      </c>
    </row>
    <row r="261" spans="1:7" x14ac:dyDescent="0.25">
      <c r="A261" s="11" t="s">
        <v>326</v>
      </c>
      <c r="B261" s="11" t="s">
        <v>327</v>
      </c>
      <c r="C261">
        <v>4.5999999999999996</v>
      </c>
      <c r="D261">
        <v>21930</v>
      </c>
      <c r="E261">
        <v>11</v>
      </c>
      <c r="F261">
        <v>2014</v>
      </c>
      <c r="G261" s="11" t="s">
        <v>12</v>
      </c>
    </row>
    <row r="262" spans="1:7" x14ac:dyDescent="0.25">
      <c r="A262" s="11" t="s">
        <v>328</v>
      </c>
      <c r="B262" s="11" t="s">
        <v>102</v>
      </c>
      <c r="C262">
        <v>4.5999999999999996</v>
      </c>
      <c r="D262">
        <v>10426</v>
      </c>
      <c r="E262">
        <v>20</v>
      </c>
      <c r="F262">
        <v>2009</v>
      </c>
      <c r="G262" s="11" t="s">
        <v>9</v>
      </c>
    </row>
    <row r="263" spans="1:7" x14ac:dyDescent="0.25">
      <c r="A263" s="11" t="s">
        <v>328</v>
      </c>
      <c r="B263" s="11" t="s">
        <v>102</v>
      </c>
      <c r="C263">
        <v>4.5999999999999996</v>
      </c>
      <c r="D263">
        <v>10426</v>
      </c>
      <c r="E263">
        <v>20</v>
      </c>
      <c r="F263">
        <v>2010</v>
      </c>
      <c r="G263" s="11" t="s">
        <v>9</v>
      </c>
    </row>
    <row r="264" spans="1:7" x14ac:dyDescent="0.25">
      <c r="A264" s="11" t="s">
        <v>329</v>
      </c>
      <c r="B264" s="11" t="s">
        <v>330</v>
      </c>
      <c r="C264">
        <v>4.7</v>
      </c>
      <c r="D264">
        <v>10820</v>
      </c>
      <c r="E264">
        <v>5</v>
      </c>
      <c r="F264">
        <v>2018</v>
      </c>
      <c r="G264" s="11" t="s">
        <v>9</v>
      </c>
    </row>
    <row r="265" spans="1:7" x14ac:dyDescent="0.25">
      <c r="A265" s="11" t="s">
        <v>329</v>
      </c>
      <c r="B265" s="11" t="s">
        <v>330</v>
      </c>
      <c r="C265">
        <v>4.7</v>
      </c>
      <c r="D265">
        <v>10820</v>
      </c>
      <c r="E265">
        <v>5</v>
      </c>
      <c r="F265">
        <v>2019</v>
      </c>
      <c r="G265" s="11" t="s">
        <v>9</v>
      </c>
    </row>
    <row r="266" spans="1:7" x14ac:dyDescent="0.25">
      <c r="A266" s="11" t="s">
        <v>331</v>
      </c>
      <c r="B266" s="11" t="s">
        <v>332</v>
      </c>
      <c r="C266">
        <v>4.8</v>
      </c>
      <c r="D266">
        <v>548</v>
      </c>
      <c r="E266">
        <v>2</v>
      </c>
      <c r="F266">
        <v>2010</v>
      </c>
      <c r="G266" s="11" t="s">
        <v>12</v>
      </c>
    </row>
    <row r="267" spans="1:7" x14ac:dyDescent="0.25">
      <c r="A267" s="11" t="s">
        <v>333</v>
      </c>
      <c r="B267" s="11" t="s">
        <v>334</v>
      </c>
      <c r="C267">
        <v>4.8</v>
      </c>
      <c r="D267">
        <v>16990</v>
      </c>
      <c r="E267">
        <v>27</v>
      </c>
      <c r="F267">
        <v>2017</v>
      </c>
      <c r="G267" s="11" t="s">
        <v>12</v>
      </c>
    </row>
    <row r="268" spans="1:7" x14ac:dyDescent="0.25">
      <c r="A268" s="11" t="s">
        <v>333</v>
      </c>
      <c r="B268" s="11" t="s">
        <v>334</v>
      </c>
      <c r="C268">
        <v>4.8</v>
      </c>
      <c r="D268">
        <v>16990</v>
      </c>
      <c r="E268">
        <v>27</v>
      </c>
      <c r="F268">
        <v>2018</v>
      </c>
      <c r="G268" s="11" t="s">
        <v>12</v>
      </c>
    </row>
    <row r="269" spans="1:7" x14ac:dyDescent="0.25">
      <c r="A269" s="11" t="s">
        <v>333</v>
      </c>
      <c r="B269" s="11" t="s">
        <v>334</v>
      </c>
      <c r="C269">
        <v>4.8</v>
      </c>
      <c r="D269">
        <v>16990</v>
      </c>
      <c r="E269">
        <v>27</v>
      </c>
      <c r="F269">
        <v>2019</v>
      </c>
      <c r="G269" s="11" t="s">
        <v>12</v>
      </c>
    </row>
    <row r="270" spans="1:7" x14ac:dyDescent="0.25">
      <c r="A270" s="11" t="s">
        <v>335</v>
      </c>
      <c r="B270" s="11" t="s">
        <v>214</v>
      </c>
      <c r="C270">
        <v>4.7</v>
      </c>
      <c r="D270">
        <v>3503</v>
      </c>
      <c r="E270">
        <v>9</v>
      </c>
      <c r="F270">
        <v>2016</v>
      </c>
      <c r="G270" s="11" t="s">
        <v>12</v>
      </c>
    </row>
    <row r="271" spans="1:7" x14ac:dyDescent="0.25">
      <c r="A271" s="11" t="s">
        <v>336</v>
      </c>
      <c r="B271" s="11" t="s">
        <v>337</v>
      </c>
      <c r="C271">
        <v>4.3</v>
      </c>
      <c r="D271">
        <v>13616</v>
      </c>
      <c r="E271">
        <v>10</v>
      </c>
      <c r="F271">
        <v>2012</v>
      </c>
      <c r="G271" s="11" t="s">
        <v>9</v>
      </c>
    </row>
    <row r="272" spans="1:7" x14ac:dyDescent="0.25">
      <c r="A272" s="11" t="s">
        <v>336</v>
      </c>
      <c r="B272" s="11" t="s">
        <v>337</v>
      </c>
      <c r="C272">
        <v>4.3</v>
      </c>
      <c r="D272">
        <v>13616</v>
      </c>
      <c r="E272">
        <v>10</v>
      </c>
      <c r="F272">
        <v>2013</v>
      </c>
      <c r="G272" s="11" t="s">
        <v>9</v>
      </c>
    </row>
    <row r="273" spans="1:7" x14ac:dyDescent="0.25">
      <c r="A273" s="11" t="s">
        <v>338</v>
      </c>
      <c r="B273" s="11" t="s">
        <v>339</v>
      </c>
      <c r="C273">
        <v>4.5</v>
      </c>
      <c r="D273">
        <v>8580</v>
      </c>
      <c r="E273">
        <v>46</v>
      </c>
      <c r="F273">
        <v>2009</v>
      </c>
      <c r="G273" s="11" t="s">
        <v>9</v>
      </c>
    </row>
    <row r="274" spans="1:7" x14ac:dyDescent="0.25">
      <c r="A274" s="11" t="s">
        <v>338</v>
      </c>
      <c r="B274" s="11" t="s">
        <v>339</v>
      </c>
      <c r="C274">
        <v>4.5</v>
      </c>
      <c r="D274">
        <v>8580</v>
      </c>
      <c r="E274">
        <v>46</v>
      </c>
      <c r="F274">
        <v>2010</v>
      </c>
      <c r="G274" s="11" t="s">
        <v>9</v>
      </c>
    </row>
    <row r="275" spans="1:7" x14ac:dyDescent="0.25">
      <c r="A275" s="11" t="s">
        <v>338</v>
      </c>
      <c r="B275" s="11" t="s">
        <v>339</v>
      </c>
      <c r="C275">
        <v>4.5</v>
      </c>
      <c r="D275">
        <v>8580</v>
      </c>
      <c r="E275">
        <v>46</v>
      </c>
      <c r="F275">
        <v>2011</v>
      </c>
      <c r="G275" s="11" t="s">
        <v>9</v>
      </c>
    </row>
    <row r="276" spans="1:7" x14ac:dyDescent="0.25">
      <c r="A276" s="11" t="s">
        <v>338</v>
      </c>
      <c r="B276" s="11" t="s">
        <v>339</v>
      </c>
      <c r="C276">
        <v>4.5</v>
      </c>
      <c r="D276">
        <v>8580</v>
      </c>
      <c r="E276">
        <v>46</v>
      </c>
      <c r="F276">
        <v>2012</v>
      </c>
      <c r="G276" s="11" t="s">
        <v>9</v>
      </c>
    </row>
    <row r="277" spans="1:7" x14ac:dyDescent="0.25">
      <c r="A277" s="11" t="s">
        <v>338</v>
      </c>
      <c r="B277" s="11" t="s">
        <v>339</v>
      </c>
      <c r="C277">
        <v>4.5</v>
      </c>
      <c r="D277">
        <v>8580</v>
      </c>
      <c r="E277">
        <v>46</v>
      </c>
      <c r="F277">
        <v>2013</v>
      </c>
      <c r="G277" s="11" t="s">
        <v>9</v>
      </c>
    </row>
    <row r="278" spans="1:7" x14ac:dyDescent="0.25">
      <c r="A278" s="11" t="s">
        <v>338</v>
      </c>
      <c r="B278" s="11" t="s">
        <v>339</v>
      </c>
      <c r="C278">
        <v>4.5</v>
      </c>
      <c r="D278">
        <v>8580</v>
      </c>
      <c r="E278">
        <v>46</v>
      </c>
      <c r="F278">
        <v>2014</v>
      </c>
      <c r="G278" s="11" t="s">
        <v>9</v>
      </c>
    </row>
    <row r="279" spans="1:7" x14ac:dyDescent="0.25">
      <c r="A279" s="11" t="s">
        <v>338</v>
      </c>
      <c r="B279" s="11" t="s">
        <v>339</v>
      </c>
      <c r="C279">
        <v>4.5</v>
      </c>
      <c r="D279">
        <v>8580</v>
      </c>
      <c r="E279">
        <v>46</v>
      </c>
      <c r="F279">
        <v>2015</v>
      </c>
      <c r="G279" s="11" t="s">
        <v>9</v>
      </c>
    </row>
    <row r="280" spans="1:7" x14ac:dyDescent="0.25">
      <c r="A280" s="11" t="s">
        <v>338</v>
      </c>
      <c r="B280" s="11" t="s">
        <v>339</v>
      </c>
      <c r="C280">
        <v>4.5</v>
      </c>
      <c r="D280">
        <v>8580</v>
      </c>
      <c r="E280">
        <v>46</v>
      </c>
      <c r="F280">
        <v>2016</v>
      </c>
      <c r="G280" s="11" t="s">
        <v>9</v>
      </c>
    </row>
    <row r="281" spans="1:7" x14ac:dyDescent="0.25">
      <c r="A281" s="11" t="s">
        <v>338</v>
      </c>
      <c r="B281" s="11" t="s">
        <v>339</v>
      </c>
      <c r="C281">
        <v>4.5</v>
      </c>
      <c r="D281">
        <v>8580</v>
      </c>
      <c r="E281">
        <v>46</v>
      </c>
      <c r="F281">
        <v>2017</v>
      </c>
      <c r="G281" s="11" t="s">
        <v>9</v>
      </c>
    </row>
    <row r="282" spans="1:7" x14ac:dyDescent="0.25">
      <c r="A282" s="11" t="s">
        <v>338</v>
      </c>
      <c r="B282" s="11" t="s">
        <v>339</v>
      </c>
      <c r="C282">
        <v>4.5</v>
      </c>
      <c r="D282">
        <v>8580</v>
      </c>
      <c r="E282">
        <v>46</v>
      </c>
      <c r="F282">
        <v>2018</v>
      </c>
      <c r="G282" s="11" t="s">
        <v>9</v>
      </c>
    </row>
    <row r="283" spans="1:7" x14ac:dyDescent="0.25">
      <c r="A283" s="11" t="s">
        <v>340</v>
      </c>
      <c r="B283" s="11" t="s">
        <v>341</v>
      </c>
      <c r="C283">
        <v>4.8</v>
      </c>
      <c r="D283">
        <v>4757</v>
      </c>
      <c r="E283">
        <v>4</v>
      </c>
      <c r="F283">
        <v>2017</v>
      </c>
      <c r="G283" s="11" t="s">
        <v>12</v>
      </c>
    </row>
    <row r="284" spans="1:7" x14ac:dyDescent="0.25">
      <c r="A284" s="11" t="s">
        <v>342</v>
      </c>
      <c r="B284" s="11" t="s">
        <v>343</v>
      </c>
      <c r="C284">
        <v>4.5999999999999996</v>
      </c>
      <c r="D284">
        <v>10009</v>
      </c>
      <c r="E284">
        <v>20</v>
      </c>
      <c r="F284">
        <v>2012</v>
      </c>
      <c r="G284" s="11" t="s">
        <v>9</v>
      </c>
    </row>
    <row r="285" spans="1:7" x14ac:dyDescent="0.25">
      <c r="A285" s="11" t="s">
        <v>342</v>
      </c>
      <c r="B285" s="11" t="s">
        <v>343</v>
      </c>
      <c r="C285">
        <v>4.5999999999999996</v>
      </c>
      <c r="D285">
        <v>10009</v>
      </c>
      <c r="E285">
        <v>7</v>
      </c>
      <c r="F285">
        <v>2013</v>
      </c>
      <c r="G285" s="11" t="s">
        <v>9</v>
      </c>
    </row>
    <row r="286" spans="1:7" x14ac:dyDescent="0.25">
      <c r="A286" s="11" t="s">
        <v>344</v>
      </c>
      <c r="B286" s="11" t="s">
        <v>345</v>
      </c>
      <c r="C286">
        <v>4.7</v>
      </c>
      <c r="D286">
        <v>1985</v>
      </c>
      <c r="E286">
        <v>9</v>
      </c>
      <c r="F286">
        <v>2010</v>
      </c>
      <c r="G286" s="11" t="s">
        <v>9</v>
      </c>
    </row>
    <row r="287" spans="1:7" x14ac:dyDescent="0.25">
      <c r="A287" s="11" t="s">
        <v>344</v>
      </c>
      <c r="B287" s="11" t="s">
        <v>345</v>
      </c>
      <c r="C287">
        <v>4.7</v>
      </c>
      <c r="D287">
        <v>1985</v>
      </c>
      <c r="E287">
        <v>9</v>
      </c>
      <c r="F287">
        <v>2011</v>
      </c>
      <c r="G287" s="11" t="s">
        <v>9</v>
      </c>
    </row>
    <row r="288" spans="1:7" x14ac:dyDescent="0.25">
      <c r="A288" s="11" t="s">
        <v>346</v>
      </c>
      <c r="B288" s="11" t="s">
        <v>347</v>
      </c>
      <c r="C288">
        <v>4.5999999999999996</v>
      </c>
      <c r="D288">
        <v>22536</v>
      </c>
      <c r="E288">
        <v>12</v>
      </c>
      <c r="F288">
        <v>2017</v>
      </c>
      <c r="G288" s="11" t="s">
        <v>12</v>
      </c>
    </row>
    <row r="289" spans="1:7" x14ac:dyDescent="0.25">
      <c r="A289" s="11" t="s">
        <v>346</v>
      </c>
      <c r="B289" s="11" t="s">
        <v>347</v>
      </c>
      <c r="C289">
        <v>4.5999999999999996</v>
      </c>
      <c r="D289">
        <v>22536</v>
      </c>
      <c r="E289">
        <v>12</v>
      </c>
      <c r="F289">
        <v>2018</v>
      </c>
      <c r="G289" s="11" t="s">
        <v>12</v>
      </c>
    </row>
    <row r="290" spans="1:7" x14ac:dyDescent="0.25">
      <c r="A290" s="11" t="s">
        <v>348</v>
      </c>
      <c r="B290" s="11" t="s">
        <v>349</v>
      </c>
      <c r="C290">
        <v>4.9000000000000004</v>
      </c>
      <c r="D290">
        <v>7150</v>
      </c>
      <c r="E290">
        <v>12</v>
      </c>
      <c r="F290">
        <v>2013</v>
      </c>
      <c r="G290" s="11" t="s">
        <v>12</v>
      </c>
    </row>
    <row r="291" spans="1:7" x14ac:dyDescent="0.25">
      <c r="A291" s="11" t="s">
        <v>350</v>
      </c>
      <c r="B291" s="11" t="s">
        <v>349</v>
      </c>
      <c r="C291">
        <v>4.9000000000000004</v>
      </c>
      <c r="D291">
        <v>3836</v>
      </c>
      <c r="E291">
        <v>12</v>
      </c>
      <c r="F291">
        <v>2014</v>
      </c>
      <c r="G291" s="11" t="s">
        <v>12</v>
      </c>
    </row>
    <row r="292" spans="1:7" x14ac:dyDescent="0.25">
      <c r="A292" s="11" t="s">
        <v>351</v>
      </c>
      <c r="B292" s="11" t="s">
        <v>352</v>
      </c>
      <c r="C292">
        <v>4.8</v>
      </c>
      <c r="D292">
        <v>7802</v>
      </c>
      <c r="E292">
        <v>20</v>
      </c>
      <c r="F292">
        <v>2018</v>
      </c>
      <c r="G292" s="11" t="s">
        <v>9</v>
      </c>
    </row>
    <row r="293" spans="1:7" x14ac:dyDescent="0.25">
      <c r="A293" s="11" t="s">
        <v>351</v>
      </c>
      <c r="B293" s="11" t="s">
        <v>352</v>
      </c>
      <c r="C293">
        <v>4.8</v>
      </c>
      <c r="D293">
        <v>7802</v>
      </c>
      <c r="E293">
        <v>20</v>
      </c>
      <c r="F293">
        <v>2019</v>
      </c>
      <c r="G293" s="11" t="s">
        <v>9</v>
      </c>
    </row>
    <row r="294" spans="1:7" x14ac:dyDescent="0.25">
      <c r="A294" s="11" t="s">
        <v>353</v>
      </c>
      <c r="B294" s="11" t="s">
        <v>354</v>
      </c>
      <c r="C294">
        <v>4.5999999999999996</v>
      </c>
      <c r="D294">
        <v>3619</v>
      </c>
      <c r="E294">
        <v>10</v>
      </c>
      <c r="F294">
        <v>2010</v>
      </c>
      <c r="G294" s="11" t="s">
        <v>12</v>
      </c>
    </row>
    <row r="295" spans="1:7" x14ac:dyDescent="0.25">
      <c r="A295" s="11" t="s">
        <v>355</v>
      </c>
      <c r="B295" s="11" t="s">
        <v>356</v>
      </c>
      <c r="C295">
        <v>4.8</v>
      </c>
      <c r="D295">
        <v>23047</v>
      </c>
      <c r="E295">
        <v>6</v>
      </c>
      <c r="F295">
        <v>2018</v>
      </c>
      <c r="G295" s="11" t="s">
        <v>9</v>
      </c>
    </row>
    <row r="296" spans="1:7" x14ac:dyDescent="0.25">
      <c r="A296" s="11" t="s">
        <v>355</v>
      </c>
      <c r="B296" s="11" t="s">
        <v>356</v>
      </c>
      <c r="C296">
        <v>4.8</v>
      </c>
      <c r="D296">
        <v>23047</v>
      </c>
      <c r="E296">
        <v>6</v>
      </c>
      <c r="F296">
        <v>2019</v>
      </c>
      <c r="G296" s="11" t="s">
        <v>9</v>
      </c>
    </row>
    <row r="297" spans="1:7" x14ac:dyDescent="0.25">
      <c r="A297" s="11" t="s">
        <v>357</v>
      </c>
      <c r="B297" s="11" t="s">
        <v>148</v>
      </c>
      <c r="C297">
        <v>4.7</v>
      </c>
      <c r="D297">
        <v>9366</v>
      </c>
      <c r="E297">
        <v>9</v>
      </c>
      <c r="F297">
        <v>2015</v>
      </c>
      <c r="G297" s="11" t="s">
        <v>9</v>
      </c>
    </row>
    <row r="298" spans="1:7" x14ac:dyDescent="0.25">
      <c r="A298" s="11" t="s">
        <v>358</v>
      </c>
      <c r="B298" s="11" t="s">
        <v>359</v>
      </c>
      <c r="C298">
        <v>4.7</v>
      </c>
      <c r="D298">
        <v>1265</v>
      </c>
      <c r="E298">
        <v>11</v>
      </c>
      <c r="F298">
        <v>2010</v>
      </c>
      <c r="G298" s="11" t="s">
        <v>9</v>
      </c>
    </row>
    <row r="299" spans="1:7" x14ac:dyDescent="0.25">
      <c r="A299" s="11" t="s">
        <v>360</v>
      </c>
      <c r="B299" s="11" t="s">
        <v>361</v>
      </c>
      <c r="C299">
        <v>4.8</v>
      </c>
      <c r="D299">
        <v>3923</v>
      </c>
      <c r="E299">
        <v>16</v>
      </c>
      <c r="F299">
        <v>2018</v>
      </c>
      <c r="G299" s="11" t="s">
        <v>9</v>
      </c>
    </row>
    <row r="300" spans="1:7" x14ac:dyDescent="0.25">
      <c r="A300" s="11" t="s">
        <v>362</v>
      </c>
      <c r="B300" s="11" t="s">
        <v>363</v>
      </c>
      <c r="C300">
        <v>4.0999999999999996</v>
      </c>
      <c r="D300">
        <v>2272</v>
      </c>
      <c r="E300">
        <v>6</v>
      </c>
      <c r="F300">
        <v>2013</v>
      </c>
      <c r="G300" s="11" t="s">
        <v>9</v>
      </c>
    </row>
    <row r="301" spans="1:7" x14ac:dyDescent="0.25">
      <c r="A301" s="11" t="s">
        <v>364</v>
      </c>
      <c r="B301" s="11" t="s">
        <v>104</v>
      </c>
      <c r="C301">
        <v>4.7</v>
      </c>
      <c r="D301">
        <v>973</v>
      </c>
      <c r="E301">
        <v>25</v>
      </c>
      <c r="F301">
        <v>2009</v>
      </c>
      <c r="G301" s="11" t="s">
        <v>12</v>
      </c>
    </row>
    <row r="302" spans="1:7" x14ac:dyDescent="0.25">
      <c r="A302" s="11" t="s">
        <v>365</v>
      </c>
      <c r="B302" s="11" t="s">
        <v>123</v>
      </c>
      <c r="C302">
        <v>4.5999999999999996</v>
      </c>
      <c r="D302">
        <v>220</v>
      </c>
      <c r="E302">
        <v>17</v>
      </c>
      <c r="F302">
        <v>2013</v>
      </c>
      <c r="G302" s="11" t="s">
        <v>9</v>
      </c>
    </row>
    <row r="303" spans="1:7" x14ac:dyDescent="0.25">
      <c r="A303" s="11" t="s">
        <v>366</v>
      </c>
      <c r="B303" s="11" t="s">
        <v>274</v>
      </c>
      <c r="C303">
        <v>4.5999999999999996</v>
      </c>
      <c r="D303">
        <v>7827</v>
      </c>
      <c r="E303">
        <v>20</v>
      </c>
      <c r="F303">
        <v>2011</v>
      </c>
      <c r="G303" s="11" t="s">
        <v>9</v>
      </c>
    </row>
    <row r="304" spans="1:7" x14ac:dyDescent="0.25">
      <c r="A304" s="11" t="s">
        <v>366</v>
      </c>
      <c r="B304" s="11" t="s">
        <v>274</v>
      </c>
      <c r="C304">
        <v>4.5999999999999996</v>
      </c>
      <c r="D304">
        <v>7827</v>
      </c>
      <c r="E304">
        <v>20</v>
      </c>
      <c r="F304">
        <v>2012</v>
      </c>
      <c r="G304" s="11" t="s">
        <v>9</v>
      </c>
    </row>
    <row r="305" spans="1:7" x14ac:dyDescent="0.25">
      <c r="A305" s="11" t="s">
        <v>367</v>
      </c>
      <c r="B305" s="11" t="s">
        <v>368</v>
      </c>
      <c r="C305">
        <v>4.9000000000000004</v>
      </c>
      <c r="D305">
        <v>9382</v>
      </c>
      <c r="E305">
        <v>6</v>
      </c>
      <c r="F305">
        <v>2019</v>
      </c>
      <c r="G305" s="11" t="s">
        <v>12</v>
      </c>
    </row>
    <row r="306" spans="1:7" x14ac:dyDescent="0.25">
      <c r="A306" s="11" t="s">
        <v>369</v>
      </c>
      <c r="B306" s="11" t="s">
        <v>370</v>
      </c>
      <c r="C306">
        <v>4</v>
      </c>
      <c r="D306">
        <v>5069</v>
      </c>
      <c r="E306">
        <v>17</v>
      </c>
      <c r="F306">
        <v>2009</v>
      </c>
      <c r="G306" s="11" t="s">
        <v>9</v>
      </c>
    </row>
    <row r="307" spans="1:7" x14ac:dyDescent="0.25">
      <c r="A307" s="11" t="s">
        <v>369</v>
      </c>
      <c r="B307" s="11" t="s">
        <v>370</v>
      </c>
      <c r="C307">
        <v>4</v>
      </c>
      <c r="D307">
        <v>5069</v>
      </c>
      <c r="E307">
        <v>17</v>
      </c>
      <c r="F307">
        <v>2010</v>
      </c>
      <c r="G307" s="11" t="s">
        <v>9</v>
      </c>
    </row>
    <row r="308" spans="1:7" x14ac:dyDescent="0.25">
      <c r="A308" s="11" t="s">
        <v>369</v>
      </c>
      <c r="B308" s="11" t="s">
        <v>370</v>
      </c>
      <c r="C308">
        <v>4</v>
      </c>
      <c r="D308">
        <v>5069</v>
      </c>
      <c r="E308">
        <v>17</v>
      </c>
      <c r="F308">
        <v>2011</v>
      </c>
      <c r="G308" s="11" t="s">
        <v>9</v>
      </c>
    </row>
    <row r="309" spans="1:7" x14ac:dyDescent="0.25">
      <c r="A309" s="11" t="s">
        <v>369</v>
      </c>
      <c r="B309" s="11" t="s">
        <v>370</v>
      </c>
      <c r="C309">
        <v>4</v>
      </c>
      <c r="D309">
        <v>5069</v>
      </c>
      <c r="E309">
        <v>17</v>
      </c>
      <c r="F309">
        <v>2012</v>
      </c>
      <c r="G309" s="11" t="s">
        <v>9</v>
      </c>
    </row>
    <row r="310" spans="1:7" x14ac:dyDescent="0.25">
      <c r="A310" s="11" t="s">
        <v>369</v>
      </c>
      <c r="B310" s="11" t="s">
        <v>370</v>
      </c>
      <c r="C310">
        <v>4</v>
      </c>
      <c r="D310">
        <v>5069</v>
      </c>
      <c r="E310">
        <v>17</v>
      </c>
      <c r="F310">
        <v>2013</v>
      </c>
      <c r="G310" s="11" t="s">
        <v>9</v>
      </c>
    </row>
    <row r="311" spans="1:7" x14ac:dyDescent="0.25">
      <c r="A311" s="11" t="s">
        <v>369</v>
      </c>
      <c r="B311" s="11" t="s">
        <v>370</v>
      </c>
      <c r="C311">
        <v>4</v>
      </c>
      <c r="D311">
        <v>5069</v>
      </c>
      <c r="E311">
        <v>17</v>
      </c>
      <c r="F311">
        <v>2014</v>
      </c>
      <c r="G311" s="11" t="s">
        <v>9</v>
      </c>
    </row>
    <row r="312" spans="1:7" x14ac:dyDescent="0.25">
      <c r="A312" s="11" t="s">
        <v>369</v>
      </c>
      <c r="B312" s="11" t="s">
        <v>370</v>
      </c>
      <c r="C312">
        <v>4</v>
      </c>
      <c r="D312">
        <v>5069</v>
      </c>
      <c r="E312">
        <v>17</v>
      </c>
      <c r="F312">
        <v>2015</v>
      </c>
      <c r="G312" s="11" t="s">
        <v>9</v>
      </c>
    </row>
    <row r="313" spans="1:7" x14ac:dyDescent="0.25">
      <c r="A313" s="11" t="s">
        <v>369</v>
      </c>
      <c r="B313" s="11" t="s">
        <v>370</v>
      </c>
      <c r="C313">
        <v>4</v>
      </c>
      <c r="D313">
        <v>5069</v>
      </c>
      <c r="E313">
        <v>17</v>
      </c>
      <c r="F313">
        <v>2016</v>
      </c>
      <c r="G313" s="11" t="s">
        <v>9</v>
      </c>
    </row>
    <row r="314" spans="1:7" x14ac:dyDescent="0.25">
      <c r="A314" s="11" t="s">
        <v>369</v>
      </c>
      <c r="B314" s="11" t="s">
        <v>370</v>
      </c>
      <c r="C314">
        <v>4</v>
      </c>
      <c r="D314">
        <v>5069</v>
      </c>
      <c r="E314">
        <v>17</v>
      </c>
      <c r="F314">
        <v>2017</v>
      </c>
      <c r="G314" s="11" t="s">
        <v>9</v>
      </c>
    </row>
    <row r="315" spans="1:7" x14ac:dyDescent="0.25">
      <c r="A315" s="11" t="s">
        <v>371</v>
      </c>
      <c r="B315" s="11" t="s">
        <v>372</v>
      </c>
      <c r="C315">
        <v>4.5</v>
      </c>
      <c r="D315">
        <v>1583</v>
      </c>
      <c r="E315">
        <v>18</v>
      </c>
      <c r="F315">
        <v>2009</v>
      </c>
      <c r="G315" s="11" t="s">
        <v>9</v>
      </c>
    </row>
    <row r="316" spans="1:7" x14ac:dyDescent="0.25">
      <c r="A316" s="11" t="s">
        <v>373</v>
      </c>
      <c r="B316" s="11" t="s">
        <v>374</v>
      </c>
      <c r="C316">
        <v>4.5999999999999996</v>
      </c>
      <c r="D316">
        <v>1907</v>
      </c>
      <c r="E316">
        <v>13</v>
      </c>
      <c r="F316">
        <v>2010</v>
      </c>
      <c r="G316" s="11" t="s">
        <v>9</v>
      </c>
    </row>
    <row r="317" spans="1:7" x14ac:dyDescent="0.25">
      <c r="A317" s="11" t="s">
        <v>375</v>
      </c>
      <c r="B317" s="11" t="s">
        <v>376</v>
      </c>
      <c r="C317">
        <v>4.5</v>
      </c>
      <c r="D317">
        <v>23114</v>
      </c>
      <c r="E317">
        <v>18</v>
      </c>
      <c r="F317">
        <v>2013</v>
      </c>
      <c r="G317" s="11" t="s">
        <v>12</v>
      </c>
    </row>
    <row r="318" spans="1:7" x14ac:dyDescent="0.25">
      <c r="A318" s="11" t="s">
        <v>377</v>
      </c>
      <c r="B318" s="11" t="s">
        <v>378</v>
      </c>
      <c r="C318">
        <v>4.4000000000000004</v>
      </c>
      <c r="D318">
        <v>637</v>
      </c>
      <c r="E318">
        <v>20</v>
      </c>
      <c r="F318">
        <v>2010</v>
      </c>
      <c r="G318" s="11" t="s">
        <v>9</v>
      </c>
    </row>
    <row r="319" spans="1:7" x14ac:dyDescent="0.25">
      <c r="A319" s="11" t="s">
        <v>377</v>
      </c>
      <c r="B319" s="11" t="s">
        <v>378</v>
      </c>
      <c r="C319">
        <v>4.4000000000000004</v>
      </c>
      <c r="D319">
        <v>637</v>
      </c>
      <c r="E319">
        <v>20</v>
      </c>
      <c r="F319">
        <v>2011</v>
      </c>
      <c r="G319" s="11" t="s">
        <v>9</v>
      </c>
    </row>
    <row r="320" spans="1:7" x14ac:dyDescent="0.25">
      <c r="A320" s="11" t="s">
        <v>379</v>
      </c>
      <c r="B320" s="11" t="s">
        <v>380</v>
      </c>
      <c r="C320">
        <v>4.3</v>
      </c>
      <c r="D320">
        <v>2314</v>
      </c>
      <c r="E320">
        <v>22</v>
      </c>
      <c r="F320">
        <v>2011</v>
      </c>
      <c r="G320" s="11" t="s">
        <v>9</v>
      </c>
    </row>
    <row r="321" spans="1:7" x14ac:dyDescent="0.25">
      <c r="A321" s="11" t="s">
        <v>381</v>
      </c>
      <c r="B321" s="11" t="s">
        <v>382</v>
      </c>
      <c r="C321">
        <v>4.3</v>
      </c>
      <c r="D321">
        <v>4587</v>
      </c>
      <c r="E321">
        <v>21</v>
      </c>
      <c r="F321">
        <v>2011</v>
      </c>
      <c r="G321" s="11" t="s">
        <v>9</v>
      </c>
    </row>
    <row r="322" spans="1:7" x14ac:dyDescent="0.25">
      <c r="A322" s="11" t="s">
        <v>383</v>
      </c>
      <c r="B322" s="11" t="s">
        <v>384</v>
      </c>
      <c r="C322">
        <v>4.7</v>
      </c>
      <c r="D322">
        <v>3477</v>
      </c>
      <c r="E322">
        <v>28</v>
      </c>
      <c r="F322">
        <v>2010</v>
      </c>
      <c r="G322" s="11" t="s">
        <v>9</v>
      </c>
    </row>
    <row r="323" spans="1:7" x14ac:dyDescent="0.25">
      <c r="A323" s="11" t="s">
        <v>383</v>
      </c>
      <c r="B323" s="11" t="s">
        <v>384</v>
      </c>
      <c r="C323">
        <v>4.7</v>
      </c>
      <c r="D323">
        <v>3477</v>
      </c>
      <c r="E323">
        <v>28</v>
      </c>
      <c r="F323">
        <v>2011</v>
      </c>
      <c r="G323" s="11" t="s">
        <v>9</v>
      </c>
    </row>
    <row r="324" spans="1:7" x14ac:dyDescent="0.25">
      <c r="A324" s="11" t="s">
        <v>383</v>
      </c>
      <c r="B324" s="11" t="s">
        <v>384</v>
      </c>
      <c r="C324">
        <v>4.7</v>
      </c>
      <c r="D324">
        <v>3477</v>
      </c>
      <c r="E324">
        <v>28</v>
      </c>
      <c r="F324">
        <v>2012</v>
      </c>
      <c r="G324" s="11" t="s">
        <v>9</v>
      </c>
    </row>
    <row r="325" spans="1:7" x14ac:dyDescent="0.25">
      <c r="A325" s="11" t="s">
        <v>383</v>
      </c>
      <c r="B325" s="11" t="s">
        <v>384</v>
      </c>
      <c r="C325">
        <v>4.7</v>
      </c>
      <c r="D325">
        <v>3477</v>
      </c>
      <c r="E325">
        <v>28</v>
      </c>
      <c r="F325">
        <v>2013</v>
      </c>
      <c r="G325" s="11" t="s">
        <v>9</v>
      </c>
    </row>
    <row r="326" spans="1:7" x14ac:dyDescent="0.25">
      <c r="A326" s="11" t="s">
        <v>383</v>
      </c>
      <c r="B326" s="11" t="s">
        <v>384</v>
      </c>
      <c r="C326">
        <v>4.7</v>
      </c>
      <c r="D326">
        <v>3477</v>
      </c>
      <c r="E326">
        <v>28</v>
      </c>
      <c r="F326">
        <v>2014</v>
      </c>
      <c r="G326" s="11" t="s">
        <v>9</v>
      </c>
    </row>
    <row r="327" spans="1:7" x14ac:dyDescent="0.25">
      <c r="A327" s="11" t="s">
        <v>385</v>
      </c>
      <c r="B327" s="11" t="s">
        <v>384</v>
      </c>
      <c r="C327">
        <v>4.8</v>
      </c>
      <c r="D327">
        <v>25554</v>
      </c>
      <c r="E327">
        <v>8</v>
      </c>
      <c r="F327">
        <v>2015</v>
      </c>
      <c r="G327" s="11" t="s">
        <v>9</v>
      </c>
    </row>
    <row r="328" spans="1:7" x14ac:dyDescent="0.25">
      <c r="A328" s="11" t="s">
        <v>385</v>
      </c>
      <c r="B328" s="11" t="s">
        <v>384</v>
      </c>
      <c r="C328">
        <v>4.8</v>
      </c>
      <c r="D328">
        <v>25554</v>
      </c>
      <c r="E328">
        <v>8</v>
      </c>
      <c r="F328">
        <v>2016</v>
      </c>
      <c r="G328" s="11" t="s">
        <v>9</v>
      </c>
    </row>
    <row r="329" spans="1:7" x14ac:dyDescent="0.25">
      <c r="A329" s="11" t="s">
        <v>385</v>
      </c>
      <c r="B329" s="11" t="s">
        <v>384</v>
      </c>
      <c r="C329">
        <v>4.8</v>
      </c>
      <c r="D329">
        <v>25554</v>
      </c>
      <c r="E329">
        <v>8</v>
      </c>
      <c r="F329">
        <v>2017</v>
      </c>
      <c r="G329" s="11" t="s">
        <v>9</v>
      </c>
    </row>
    <row r="330" spans="1:7" x14ac:dyDescent="0.25">
      <c r="A330" s="11" t="s">
        <v>385</v>
      </c>
      <c r="B330" s="11" t="s">
        <v>384</v>
      </c>
      <c r="C330">
        <v>4.8</v>
      </c>
      <c r="D330">
        <v>25554</v>
      </c>
      <c r="E330">
        <v>8</v>
      </c>
      <c r="F330">
        <v>2018</v>
      </c>
      <c r="G330" s="11" t="s">
        <v>9</v>
      </c>
    </row>
    <row r="331" spans="1:7" x14ac:dyDescent="0.25">
      <c r="A331" s="11" t="s">
        <v>385</v>
      </c>
      <c r="B331" s="11" t="s">
        <v>384</v>
      </c>
      <c r="C331">
        <v>4.8</v>
      </c>
      <c r="D331">
        <v>25554</v>
      </c>
      <c r="E331">
        <v>8</v>
      </c>
      <c r="F331">
        <v>2019</v>
      </c>
      <c r="G331" s="11" t="s">
        <v>9</v>
      </c>
    </row>
    <row r="332" spans="1:7" x14ac:dyDescent="0.25">
      <c r="A332" s="11" t="s">
        <v>386</v>
      </c>
      <c r="B332" s="11" t="s">
        <v>387</v>
      </c>
      <c r="C332">
        <v>4.8</v>
      </c>
      <c r="D332">
        <v>1680</v>
      </c>
      <c r="E332">
        <v>12</v>
      </c>
      <c r="F332">
        <v>2009</v>
      </c>
      <c r="G332" s="11" t="s">
        <v>9</v>
      </c>
    </row>
    <row r="333" spans="1:7" x14ac:dyDescent="0.25">
      <c r="A333" s="11" t="s">
        <v>388</v>
      </c>
      <c r="B333" s="11" t="s">
        <v>389</v>
      </c>
      <c r="C333">
        <v>4.5999999999999996</v>
      </c>
      <c r="D333">
        <v>9325</v>
      </c>
      <c r="E333">
        <v>24</v>
      </c>
      <c r="F333">
        <v>2009</v>
      </c>
      <c r="G333" s="11" t="s">
        <v>9</v>
      </c>
    </row>
    <row r="334" spans="1:7" x14ac:dyDescent="0.25">
      <c r="A334" s="11" t="s">
        <v>388</v>
      </c>
      <c r="B334" s="11" t="s">
        <v>389</v>
      </c>
      <c r="C334">
        <v>4.5999999999999996</v>
      </c>
      <c r="D334">
        <v>9325</v>
      </c>
      <c r="E334">
        <v>24</v>
      </c>
      <c r="F334">
        <v>2011</v>
      </c>
      <c r="G334" s="11" t="s">
        <v>9</v>
      </c>
    </row>
    <row r="335" spans="1:7" x14ac:dyDescent="0.25">
      <c r="A335" s="11" t="s">
        <v>388</v>
      </c>
      <c r="B335" s="11" t="s">
        <v>389</v>
      </c>
      <c r="C335">
        <v>4.5999999999999996</v>
      </c>
      <c r="D335">
        <v>9325</v>
      </c>
      <c r="E335">
        <v>24</v>
      </c>
      <c r="F335">
        <v>2012</v>
      </c>
      <c r="G335" s="11" t="s">
        <v>9</v>
      </c>
    </row>
    <row r="336" spans="1:7" x14ac:dyDescent="0.25">
      <c r="A336" s="11" t="s">
        <v>388</v>
      </c>
      <c r="B336" s="11" t="s">
        <v>389</v>
      </c>
      <c r="C336">
        <v>4.5999999999999996</v>
      </c>
      <c r="D336">
        <v>9325</v>
      </c>
      <c r="E336">
        <v>24</v>
      </c>
      <c r="F336">
        <v>2013</v>
      </c>
      <c r="G336" s="11" t="s">
        <v>9</v>
      </c>
    </row>
    <row r="337" spans="1:7" x14ac:dyDescent="0.25">
      <c r="A337" s="11" t="s">
        <v>388</v>
      </c>
      <c r="B337" s="11" t="s">
        <v>389</v>
      </c>
      <c r="C337">
        <v>4.7</v>
      </c>
      <c r="D337">
        <v>4725</v>
      </c>
      <c r="E337">
        <v>16</v>
      </c>
      <c r="F337">
        <v>2015</v>
      </c>
      <c r="G337" s="11" t="s">
        <v>9</v>
      </c>
    </row>
    <row r="338" spans="1:7" x14ac:dyDescent="0.25">
      <c r="A338" s="11" t="s">
        <v>388</v>
      </c>
      <c r="B338" s="11" t="s">
        <v>389</v>
      </c>
      <c r="C338">
        <v>4.7</v>
      </c>
      <c r="D338">
        <v>4725</v>
      </c>
      <c r="E338">
        <v>16</v>
      </c>
      <c r="F338">
        <v>2016</v>
      </c>
      <c r="G338" s="11" t="s">
        <v>9</v>
      </c>
    </row>
    <row r="339" spans="1:7" x14ac:dyDescent="0.25">
      <c r="A339" s="11" t="s">
        <v>388</v>
      </c>
      <c r="B339" s="11" t="s">
        <v>389</v>
      </c>
      <c r="C339">
        <v>4.7</v>
      </c>
      <c r="D339">
        <v>4725</v>
      </c>
      <c r="E339">
        <v>16</v>
      </c>
      <c r="F339">
        <v>2017</v>
      </c>
      <c r="G339" s="11" t="s">
        <v>9</v>
      </c>
    </row>
    <row r="340" spans="1:7" x14ac:dyDescent="0.25">
      <c r="A340" s="11" t="s">
        <v>390</v>
      </c>
      <c r="B340" s="11" t="s">
        <v>391</v>
      </c>
      <c r="C340">
        <v>4.7</v>
      </c>
      <c r="D340">
        <v>35799</v>
      </c>
      <c r="E340">
        <v>39</v>
      </c>
      <c r="F340">
        <v>2014</v>
      </c>
      <c r="G340" s="11" t="s">
        <v>12</v>
      </c>
    </row>
    <row r="341" spans="1:7" x14ac:dyDescent="0.25">
      <c r="A341" s="11" t="s">
        <v>392</v>
      </c>
      <c r="B341" s="11" t="s">
        <v>393</v>
      </c>
      <c r="C341">
        <v>4.5999999999999996</v>
      </c>
      <c r="D341">
        <v>2580</v>
      </c>
      <c r="E341">
        <v>9</v>
      </c>
      <c r="F341">
        <v>2012</v>
      </c>
      <c r="G341" s="11" t="s">
        <v>9</v>
      </c>
    </row>
    <row r="342" spans="1:7" x14ac:dyDescent="0.25">
      <c r="A342" s="11" t="s">
        <v>394</v>
      </c>
      <c r="B342" s="11" t="s">
        <v>395</v>
      </c>
      <c r="C342">
        <v>4.7</v>
      </c>
      <c r="D342">
        <v>11813</v>
      </c>
      <c r="E342">
        <v>10</v>
      </c>
      <c r="F342">
        <v>2010</v>
      </c>
      <c r="G342" s="11" t="s">
        <v>12</v>
      </c>
    </row>
    <row r="343" spans="1:7" x14ac:dyDescent="0.25">
      <c r="A343" s="11" t="s">
        <v>394</v>
      </c>
      <c r="B343" s="11" t="s">
        <v>395</v>
      </c>
      <c r="C343">
        <v>4.7</v>
      </c>
      <c r="D343">
        <v>11813</v>
      </c>
      <c r="E343">
        <v>10</v>
      </c>
      <c r="F343">
        <v>2011</v>
      </c>
      <c r="G343" s="11" t="s">
        <v>12</v>
      </c>
    </row>
    <row r="344" spans="1:7" x14ac:dyDescent="0.25">
      <c r="A344" s="11" t="s">
        <v>396</v>
      </c>
      <c r="B344" s="11" t="s">
        <v>397</v>
      </c>
      <c r="C344">
        <v>4.7</v>
      </c>
      <c r="D344">
        <v>3536</v>
      </c>
      <c r="E344">
        <v>17</v>
      </c>
      <c r="F344">
        <v>2010</v>
      </c>
      <c r="G344" s="11" t="s">
        <v>9</v>
      </c>
    </row>
    <row r="345" spans="1:7" x14ac:dyDescent="0.25">
      <c r="A345" s="11" t="s">
        <v>398</v>
      </c>
      <c r="B345" s="11" t="s">
        <v>332</v>
      </c>
      <c r="C345">
        <v>4.8</v>
      </c>
      <c r="D345">
        <v>6600</v>
      </c>
      <c r="E345">
        <v>11</v>
      </c>
      <c r="F345">
        <v>2014</v>
      </c>
      <c r="G345" s="11" t="s">
        <v>12</v>
      </c>
    </row>
    <row r="346" spans="1:7" x14ac:dyDescent="0.25">
      <c r="A346" s="11" t="s">
        <v>399</v>
      </c>
      <c r="B346" s="11" t="s">
        <v>400</v>
      </c>
      <c r="C346">
        <v>4.2</v>
      </c>
      <c r="D346">
        <v>1789</v>
      </c>
      <c r="E346">
        <v>14</v>
      </c>
      <c r="F346">
        <v>2012</v>
      </c>
      <c r="G346" s="11" t="s">
        <v>9</v>
      </c>
    </row>
    <row r="347" spans="1:7" x14ac:dyDescent="0.25">
      <c r="A347" s="11" t="s">
        <v>401</v>
      </c>
      <c r="B347" s="11" t="s">
        <v>402</v>
      </c>
      <c r="C347">
        <v>4.8</v>
      </c>
      <c r="D347">
        <v>12361</v>
      </c>
      <c r="E347">
        <v>12</v>
      </c>
      <c r="F347">
        <v>2019</v>
      </c>
      <c r="G347" s="11" t="s">
        <v>9</v>
      </c>
    </row>
    <row r="348" spans="1:7" x14ac:dyDescent="0.25">
      <c r="A348" s="11" t="s">
        <v>403</v>
      </c>
      <c r="B348" s="11" t="s">
        <v>404</v>
      </c>
      <c r="C348">
        <v>4.7</v>
      </c>
      <c r="D348">
        <v>858</v>
      </c>
      <c r="E348">
        <v>53</v>
      </c>
      <c r="F348">
        <v>2009</v>
      </c>
      <c r="G348" s="11" t="s">
        <v>9</v>
      </c>
    </row>
    <row r="349" spans="1:7" x14ac:dyDescent="0.25">
      <c r="A349" s="11" t="s">
        <v>405</v>
      </c>
      <c r="B349" s="11" t="s">
        <v>406</v>
      </c>
      <c r="C349">
        <v>4.5999999999999996</v>
      </c>
      <c r="D349">
        <v>23148</v>
      </c>
      <c r="E349">
        <v>6</v>
      </c>
      <c r="F349">
        <v>2013</v>
      </c>
      <c r="G349" s="11" t="s">
        <v>12</v>
      </c>
    </row>
    <row r="350" spans="1:7" x14ac:dyDescent="0.25">
      <c r="A350" s="11" t="s">
        <v>405</v>
      </c>
      <c r="B350" s="11" t="s">
        <v>406</v>
      </c>
      <c r="C350">
        <v>4.5999999999999996</v>
      </c>
      <c r="D350">
        <v>23148</v>
      </c>
      <c r="E350">
        <v>6</v>
      </c>
      <c r="F350">
        <v>2014</v>
      </c>
      <c r="G350" s="11" t="s">
        <v>12</v>
      </c>
    </row>
    <row r="351" spans="1:7" x14ac:dyDescent="0.25">
      <c r="A351" s="11" t="s">
        <v>407</v>
      </c>
      <c r="B351" s="11" t="s">
        <v>408</v>
      </c>
      <c r="C351">
        <v>4.8</v>
      </c>
      <c r="D351">
        <v>8081</v>
      </c>
      <c r="E351">
        <v>8</v>
      </c>
      <c r="F351">
        <v>2014</v>
      </c>
      <c r="G351" s="11" t="s">
        <v>12</v>
      </c>
    </row>
    <row r="352" spans="1:7" x14ac:dyDescent="0.25">
      <c r="A352" s="11" t="s">
        <v>407</v>
      </c>
      <c r="B352" s="11" t="s">
        <v>408</v>
      </c>
      <c r="C352">
        <v>4.8</v>
      </c>
      <c r="D352">
        <v>8081</v>
      </c>
      <c r="E352">
        <v>8</v>
      </c>
      <c r="F352">
        <v>2015</v>
      </c>
      <c r="G352" s="11" t="s">
        <v>12</v>
      </c>
    </row>
    <row r="353" spans="1:7" x14ac:dyDescent="0.25">
      <c r="A353" s="11" t="s">
        <v>409</v>
      </c>
      <c r="B353" s="11" t="s">
        <v>410</v>
      </c>
      <c r="C353">
        <v>4.8</v>
      </c>
      <c r="D353">
        <v>23358</v>
      </c>
      <c r="E353">
        <v>12</v>
      </c>
      <c r="F353">
        <v>2014</v>
      </c>
      <c r="G353" s="11" t="s">
        <v>9</v>
      </c>
    </row>
    <row r="354" spans="1:7" x14ac:dyDescent="0.25">
      <c r="A354" s="11" t="s">
        <v>409</v>
      </c>
      <c r="B354" s="11" t="s">
        <v>410</v>
      </c>
      <c r="C354">
        <v>4.8</v>
      </c>
      <c r="D354">
        <v>23358</v>
      </c>
      <c r="E354">
        <v>12</v>
      </c>
      <c r="F354">
        <v>2015</v>
      </c>
      <c r="G354" s="11" t="s">
        <v>9</v>
      </c>
    </row>
    <row r="355" spans="1:7" x14ac:dyDescent="0.25">
      <c r="A355" s="11" t="s">
        <v>411</v>
      </c>
      <c r="B355" s="11" t="s">
        <v>152</v>
      </c>
      <c r="C355">
        <v>3.3</v>
      </c>
      <c r="D355">
        <v>9372</v>
      </c>
      <c r="E355">
        <v>12</v>
      </c>
      <c r="F355">
        <v>2012</v>
      </c>
      <c r="G355" s="11" t="s">
        <v>12</v>
      </c>
    </row>
    <row r="356" spans="1:7" x14ac:dyDescent="0.25">
      <c r="A356" s="11" t="s">
        <v>412</v>
      </c>
      <c r="B356" s="11" t="s">
        <v>413</v>
      </c>
      <c r="C356">
        <v>4.7</v>
      </c>
      <c r="D356">
        <v>4633</v>
      </c>
      <c r="E356">
        <v>21</v>
      </c>
      <c r="F356">
        <v>2011</v>
      </c>
      <c r="G356" s="11" t="s">
        <v>9</v>
      </c>
    </row>
    <row r="357" spans="1:7" x14ac:dyDescent="0.25">
      <c r="A357" s="11" t="s">
        <v>414</v>
      </c>
      <c r="B357" s="11" t="s">
        <v>415</v>
      </c>
      <c r="C357">
        <v>4.3</v>
      </c>
      <c r="D357">
        <v>13061</v>
      </c>
      <c r="E357">
        <v>6</v>
      </c>
      <c r="F357">
        <v>2018</v>
      </c>
      <c r="G357" s="11" t="s">
        <v>9</v>
      </c>
    </row>
    <row r="358" spans="1:7" x14ac:dyDescent="0.25">
      <c r="A358" s="11" t="s">
        <v>414</v>
      </c>
      <c r="B358" s="11" t="s">
        <v>415</v>
      </c>
      <c r="C358">
        <v>4.3</v>
      </c>
      <c r="D358">
        <v>13061</v>
      </c>
      <c r="E358">
        <v>6</v>
      </c>
      <c r="F358">
        <v>2019</v>
      </c>
      <c r="G358" s="11" t="s">
        <v>9</v>
      </c>
    </row>
    <row r="359" spans="1:7" x14ac:dyDescent="0.25">
      <c r="A359" s="11" t="s">
        <v>416</v>
      </c>
      <c r="B359" s="11" t="s">
        <v>376</v>
      </c>
      <c r="C359">
        <v>4.3</v>
      </c>
      <c r="D359">
        <v>3523</v>
      </c>
      <c r="E359">
        <v>13</v>
      </c>
      <c r="F359">
        <v>2010</v>
      </c>
      <c r="G359" s="11" t="s">
        <v>12</v>
      </c>
    </row>
    <row r="360" spans="1:7" x14ac:dyDescent="0.25">
      <c r="A360" s="11" t="s">
        <v>417</v>
      </c>
      <c r="B360" s="11" t="s">
        <v>418</v>
      </c>
      <c r="C360">
        <v>4.8</v>
      </c>
      <c r="D360">
        <v>2774</v>
      </c>
      <c r="E360">
        <v>0</v>
      </c>
      <c r="F360">
        <v>2016</v>
      </c>
      <c r="G360" s="11" t="s">
        <v>9</v>
      </c>
    </row>
    <row r="361" spans="1:7" x14ac:dyDescent="0.25">
      <c r="A361" s="11" t="s">
        <v>419</v>
      </c>
      <c r="B361" s="11" t="s">
        <v>420</v>
      </c>
      <c r="C361">
        <v>4.4000000000000004</v>
      </c>
      <c r="D361">
        <v>440</v>
      </c>
      <c r="E361">
        <v>11</v>
      </c>
      <c r="F361">
        <v>2010</v>
      </c>
      <c r="G361" s="11" t="s">
        <v>9</v>
      </c>
    </row>
    <row r="362" spans="1:7" x14ac:dyDescent="0.25">
      <c r="A362" s="11" t="s">
        <v>421</v>
      </c>
      <c r="B362" s="11" t="s">
        <v>422</v>
      </c>
      <c r="C362">
        <v>4.8</v>
      </c>
      <c r="D362">
        <v>8922</v>
      </c>
      <c r="E362">
        <v>9</v>
      </c>
      <c r="F362">
        <v>2013</v>
      </c>
      <c r="G362" s="11" t="s">
        <v>12</v>
      </c>
    </row>
    <row r="363" spans="1:7" x14ac:dyDescent="0.25">
      <c r="A363" s="11" t="s">
        <v>421</v>
      </c>
      <c r="B363" s="11" t="s">
        <v>422</v>
      </c>
      <c r="C363">
        <v>4.8</v>
      </c>
      <c r="D363">
        <v>8922</v>
      </c>
      <c r="E363">
        <v>9</v>
      </c>
      <c r="F363">
        <v>2014</v>
      </c>
      <c r="G363" s="11" t="s">
        <v>12</v>
      </c>
    </row>
    <row r="364" spans="1:7" x14ac:dyDescent="0.25">
      <c r="A364" s="11" t="s">
        <v>421</v>
      </c>
      <c r="B364" s="11" t="s">
        <v>422</v>
      </c>
      <c r="C364">
        <v>4.8</v>
      </c>
      <c r="D364">
        <v>8922</v>
      </c>
      <c r="E364">
        <v>9</v>
      </c>
      <c r="F364">
        <v>2015</v>
      </c>
      <c r="G364" s="11" t="s">
        <v>12</v>
      </c>
    </row>
    <row r="365" spans="1:7" x14ac:dyDescent="0.25">
      <c r="A365" s="11" t="s">
        <v>423</v>
      </c>
      <c r="B365" s="11" t="s">
        <v>424</v>
      </c>
      <c r="C365">
        <v>4.0999999999999996</v>
      </c>
      <c r="D365">
        <v>2023</v>
      </c>
      <c r="E365">
        <v>15</v>
      </c>
      <c r="F365">
        <v>2011</v>
      </c>
      <c r="G365" s="11" t="s">
        <v>9</v>
      </c>
    </row>
    <row r="366" spans="1:7" x14ac:dyDescent="0.25">
      <c r="A366" s="11" t="s">
        <v>425</v>
      </c>
      <c r="B366" s="11" t="s">
        <v>426</v>
      </c>
      <c r="C366">
        <v>4</v>
      </c>
      <c r="D366">
        <v>1859</v>
      </c>
      <c r="E366">
        <v>11</v>
      </c>
      <c r="F366">
        <v>2009</v>
      </c>
      <c r="G366" s="11" t="s">
        <v>12</v>
      </c>
    </row>
    <row r="367" spans="1:7" x14ac:dyDescent="0.25">
      <c r="A367" s="11" t="s">
        <v>427</v>
      </c>
      <c r="B367" s="11" t="s">
        <v>288</v>
      </c>
      <c r="C367">
        <v>4.7</v>
      </c>
      <c r="D367">
        <v>50482</v>
      </c>
      <c r="E367">
        <v>13</v>
      </c>
      <c r="F367">
        <v>2012</v>
      </c>
      <c r="G367" s="11" t="s">
        <v>12</v>
      </c>
    </row>
    <row r="368" spans="1:7" x14ac:dyDescent="0.25">
      <c r="A368" s="11" t="s">
        <v>427</v>
      </c>
      <c r="B368" s="11" t="s">
        <v>288</v>
      </c>
      <c r="C368">
        <v>4.7</v>
      </c>
      <c r="D368">
        <v>50482</v>
      </c>
      <c r="E368">
        <v>13</v>
      </c>
      <c r="F368">
        <v>2013</v>
      </c>
      <c r="G368" s="11" t="s">
        <v>12</v>
      </c>
    </row>
    <row r="369" spans="1:7" x14ac:dyDescent="0.25">
      <c r="A369" s="11" t="s">
        <v>427</v>
      </c>
      <c r="B369" s="11" t="s">
        <v>288</v>
      </c>
      <c r="C369">
        <v>4.7</v>
      </c>
      <c r="D369">
        <v>50482</v>
      </c>
      <c r="E369">
        <v>7</v>
      </c>
      <c r="F369">
        <v>2014</v>
      </c>
      <c r="G369" s="11" t="s">
        <v>12</v>
      </c>
    </row>
    <row r="370" spans="1:7" x14ac:dyDescent="0.25">
      <c r="A370" s="11" t="s">
        <v>427</v>
      </c>
      <c r="B370" s="11" t="s">
        <v>288</v>
      </c>
      <c r="C370">
        <v>4.7</v>
      </c>
      <c r="D370">
        <v>50482</v>
      </c>
      <c r="E370">
        <v>13</v>
      </c>
      <c r="F370">
        <v>2014</v>
      </c>
      <c r="G370" s="11" t="s">
        <v>12</v>
      </c>
    </row>
    <row r="371" spans="1:7" x14ac:dyDescent="0.25">
      <c r="A371" s="11" t="s">
        <v>428</v>
      </c>
      <c r="B371" s="11" t="s">
        <v>429</v>
      </c>
      <c r="C371">
        <v>4.5999999999999996</v>
      </c>
      <c r="D371">
        <v>3207</v>
      </c>
      <c r="E371">
        <v>6</v>
      </c>
      <c r="F371">
        <v>2009</v>
      </c>
      <c r="G371" s="11" t="s">
        <v>9</v>
      </c>
    </row>
    <row r="372" spans="1:7" x14ac:dyDescent="0.25">
      <c r="A372" s="11" t="s">
        <v>428</v>
      </c>
      <c r="B372" s="11" t="s">
        <v>429</v>
      </c>
      <c r="C372">
        <v>4.5999999999999996</v>
      </c>
      <c r="D372">
        <v>3207</v>
      </c>
      <c r="E372">
        <v>6</v>
      </c>
      <c r="F372">
        <v>2010</v>
      </c>
      <c r="G372" s="11" t="s">
        <v>9</v>
      </c>
    </row>
    <row r="373" spans="1:7" x14ac:dyDescent="0.25">
      <c r="A373" s="11" t="s">
        <v>428</v>
      </c>
      <c r="B373" s="11" t="s">
        <v>429</v>
      </c>
      <c r="C373">
        <v>4.5999999999999996</v>
      </c>
      <c r="D373">
        <v>3207</v>
      </c>
      <c r="E373">
        <v>6</v>
      </c>
      <c r="F373">
        <v>2011</v>
      </c>
      <c r="G373" s="11" t="s">
        <v>9</v>
      </c>
    </row>
    <row r="374" spans="1:7" x14ac:dyDescent="0.25">
      <c r="A374" s="11" t="s">
        <v>428</v>
      </c>
      <c r="B374" s="11" t="s">
        <v>429</v>
      </c>
      <c r="C374">
        <v>4.5999999999999996</v>
      </c>
      <c r="D374">
        <v>3207</v>
      </c>
      <c r="E374">
        <v>6</v>
      </c>
      <c r="F374">
        <v>2012</v>
      </c>
      <c r="G374" s="11" t="s">
        <v>9</v>
      </c>
    </row>
    <row r="375" spans="1:7" x14ac:dyDescent="0.25">
      <c r="A375" s="11" t="s">
        <v>428</v>
      </c>
      <c r="B375" s="11" t="s">
        <v>429</v>
      </c>
      <c r="C375">
        <v>4.5999999999999996</v>
      </c>
      <c r="D375">
        <v>3207</v>
      </c>
      <c r="E375">
        <v>6</v>
      </c>
      <c r="F375">
        <v>2013</v>
      </c>
      <c r="G375" s="11" t="s">
        <v>9</v>
      </c>
    </row>
    <row r="376" spans="1:7" x14ac:dyDescent="0.25">
      <c r="A376" s="11" t="s">
        <v>430</v>
      </c>
      <c r="B376" s="11" t="s">
        <v>384</v>
      </c>
      <c r="C376">
        <v>4.5999999999999996</v>
      </c>
      <c r="D376">
        <v>803</v>
      </c>
      <c r="E376">
        <v>9</v>
      </c>
      <c r="F376">
        <v>2009</v>
      </c>
      <c r="G376" s="11" t="s">
        <v>9</v>
      </c>
    </row>
    <row r="377" spans="1:7" x14ac:dyDescent="0.25">
      <c r="A377" s="11" t="s">
        <v>431</v>
      </c>
      <c r="B377" s="11" t="s">
        <v>432</v>
      </c>
      <c r="C377">
        <v>4.7</v>
      </c>
      <c r="D377">
        <v>23308</v>
      </c>
      <c r="E377">
        <v>6</v>
      </c>
      <c r="F377">
        <v>2013</v>
      </c>
      <c r="G377" s="11" t="s">
        <v>9</v>
      </c>
    </row>
    <row r="378" spans="1:7" x14ac:dyDescent="0.25">
      <c r="A378" s="11" t="s">
        <v>431</v>
      </c>
      <c r="B378" s="11" t="s">
        <v>432</v>
      </c>
      <c r="C378">
        <v>4.7</v>
      </c>
      <c r="D378">
        <v>23308</v>
      </c>
      <c r="E378">
        <v>6</v>
      </c>
      <c r="F378">
        <v>2015</v>
      </c>
      <c r="G378" s="11" t="s">
        <v>9</v>
      </c>
    </row>
    <row r="379" spans="1:7" x14ac:dyDescent="0.25">
      <c r="A379" s="11" t="s">
        <v>431</v>
      </c>
      <c r="B379" s="11" t="s">
        <v>432</v>
      </c>
      <c r="C379">
        <v>4.7</v>
      </c>
      <c r="D379">
        <v>23308</v>
      </c>
      <c r="E379">
        <v>6</v>
      </c>
      <c r="F379">
        <v>2016</v>
      </c>
      <c r="G379" s="11" t="s">
        <v>9</v>
      </c>
    </row>
    <row r="380" spans="1:7" x14ac:dyDescent="0.25">
      <c r="A380" s="11" t="s">
        <v>431</v>
      </c>
      <c r="B380" s="11" t="s">
        <v>432</v>
      </c>
      <c r="C380">
        <v>4.7</v>
      </c>
      <c r="D380">
        <v>23308</v>
      </c>
      <c r="E380">
        <v>6</v>
      </c>
      <c r="F380">
        <v>2017</v>
      </c>
      <c r="G380" s="11" t="s">
        <v>9</v>
      </c>
    </row>
    <row r="381" spans="1:7" x14ac:dyDescent="0.25">
      <c r="A381" s="11" t="s">
        <v>431</v>
      </c>
      <c r="B381" s="11" t="s">
        <v>432</v>
      </c>
      <c r="C381">
        <v>4.7</v>
      </c>
      <c r="D381">
        <v>23308</v>
      </c>
      <c r="E381">
        <v>6</v>
      </c>
      <c r="F381">
        <v>2018</v>
      </c>
      <c r="G381" s="11" t="s">
        <v>9</v>
      </c>
    </row>
    <row r="382" spans="1:7" x14ac:dyDescent="0.25">
      <c r="A382" s="11" t="s">
        <v>431</v>
      </c>
      <c r="B382" s="11" t="s">
        <v>432</v>
      </c>
      <c r="C382">
        <v>4.7</v>
      </c>
      <c r="D382">
        <v>23308</v>
      </c>
      <c r="E382">
        <v>6</v>
      </c>
      <c r="F382">
        <v>2019</v>
      </c>
      <c r="G382" s="11" t="s">
        <v>9</v>
      </c>
    </row>
    <row r="383" spans="1:7" x14ac:dyDescent="0.25">
      <c r="A383" s="11" t="s">
        <v>433</v>
      </c>
      <c r="B383" s="11" t="s">
        <v>79</v>
      </c>
      <c r="C383">
        <v>4.8</v>
      </c>
      <c r="D383">
        <v>5836</v>
      </c>
      <c r="E383">
        <v>0</v>
      </c>
      <c r="F383">
        <v>2017</v>
      </c>
      <c r="G383" s="11" t="s">
        <v>12</v>
      </c>
    </row>
    <row r="384" spans="1:7" x14ac:dyDescent="0.25">
      <c r="A384" s="11" t="s">
        <v>434</v>
      </c>
      <c r="B384" s="11" t="s">
        <v>435</v>
      </c>
      <c r="C384">
        <v>4.0999999999999996</v>
      </c>
      <c r="D384">
        <v>79446</v>
      </c>
      <c r="E384">
        <v>18</v>
      </c>
      <c r="F384">
        <v>2015</v>
      </c>
      <c r="G384" s="11" t="s">
        <v>12</v>
      </c>
    </row>
    <row r="385" spans="1:7" x14ac:dyDescent="0.25">
      <c r="A385" s="11" t="s">
        <v>434</v>
      </c>
      <c r="B385" s="11" t="s">
        <v>435</v>
      </c>
      <c r="C385">
        <v>4.0999999999999996</v>
      </c>
      <c r="D385">
        <v>79446</v>
      </c>
      <c r="E385">
        <v>7</v>
      </c>
      <c r="F385">
        <v>2016</v>
      </c>
      <c r="G385" s="11" t="s">
        <v>12</v>
      </c>
    </row>
    <row r="386" spans="1:7" x14ac:dyDescent="0.25">
      <c r="A386" s="11" t="s">
        <v>436</v>
      </c>
      <c r="B386" s="11" t="s">
        <v>437</v>
      </c>
      <c r="C386">
        <v>4.7</v>
      </c>
      <c r="D386">
        <v>7747</v>
      </c>
      <c r="E386">
        <v>14</v>
      </c>
      <c r="F386">
        <v>2010</v>
      </c>
      <c r="G386" s="11" t="s">
        <v>12</v>
      </c>
    </row>
    <row r="387" spans="1:7" x14ac:dyDescent="0.25">
      <c r="A387" s="11" t="s">
        <v>436</v>
      </c>
      <c r="B387" s="11" t="s">
        <v>437</v>
      </c>
      <c r="C387">
        <v>4.7</v>
      </c>
      <c r="D387">
        <v>7747</v>
      </c>
      <c r="E387">
        <v>14</v>
      </c>
      <c r="F387">
        <v>2011</v>
      </c>
      <c r="G387" s="11" t="s">
        <v>12</v>
      </c>
    </row>
    <row r="388" spans="1:7" x14ac:dyDescent="0.25">
      <c r="A388" s="11" t="s">
        <v>438</v>
      </c>
      <c r="B388" s="11" t="s">
        <v>437</v>
      </c>
      <c r="C388">
        <v>4.7</v>
      </c>
      <c r="D388">
        <v>7251</v>
      </c>
      <c r="E388">
        <v>9</v>
      </c>
      <c r="F388">
        <v>2010</v>
      </c>
      <c r="G388" s="11" t="s">
        <v>12</v>
      </c>
    </row>
    <row r="389" spans="1:7" x14ac:dyDescent="0.25">
      <c r="A389" s="11" t="s">
        <v>439</v>
      </c>
      <c r="B389" s="11" t="s">
        <v>437</v>
      </c>
      <c r="C389">
        <v>4.7</v>
      </c>
      <c r="D389">
        <v>7251</v>
      </c>
      <c r="E389">
        <v>16</v>
      </c>
      <c r="F389">
        <v>2009</v>
      </c>
      <c r="G389" s="11" t="s">
        <v>12</v>
      </c>
    </row>
    <row r="390" spans="1:7" x14ac:dyDescent="0.25">
      <c r="A390" s="11" t="s">
        <v>440</v>
      </c>
      <c r="B390" s="11" t="s">
        <v>437</v>
      </c>
      <c r="C390">
        <v>4.4000000000000004</v>
      </c>
      <c r="D390">
        <v>10559</v>
      </c>
      <c r="E390">
        <v>2</v>
      </c>
      <c r="F390">
        <v>2009</v>
      </c>
      <c r="G390" s="11" t="s">
        <v>12</v>
      </c>
    </row>
    <row r="391" spans="1:7" x14ac:dyDescent="0.25">
      <c r="A391" s="11" t="s">
        <v>440</v>
      </c>
      <c r="B391" s="11" t="s">
        <v>437</v>
      </c>
      <c r="C391">
        <v>4.4000000000000004</v>
      </c>
      <c r="D391">
        <v>10559</v>
      </c>
      <c r="E391">
        <v>2</v>
      </c>
      <c r="F391">
        <v>2010</v>
      </c>
      <c r="G391" s="11" t="s">
        <v>12</v>
      </c>
    </row>
    <row r="392" spans="1:7" x14ac:dyDescent="0.25">
      <c r="A392" s="11" t="s">
        <v>441</v>
      </c>
      <c r="B392" s="11" t="s">
        <v>442</v>
      </c>
      <c r="C392">
        <v>4.8</v>
      </c>
      <c r="D392">
        <v>5249</v>
      </c>
      <c r="E392">
        <v>5</v>
      </c>
      <c r="F392">
        <v>2016</v>
      </c>
      <c r="G392" s="11" t="s">
        <v>12</v>
      </c>
    </row>
    <row r="393" spans="1:7" x14ac:dyDescent="0.25">
      <c r="A393" s="11" t="s">
        <v>441</v>
      </c>
      <c r="B393" s="11" t="s">
        <v>442</v>
      </c>
      <c r="C393">
        <v>4.8</v>
      </c>
      <c r="D393">
        <v>5249</v>
      </c>
      <c r="E393">
        <v>5</v>
      </c>
      <c r="F393">
        <v>2017</v>
      </c>
      <c r="G393" s="11" t="s">
        <v>12</v>
      </c>
    </row>
    <row r="394" spans="1:7" x14ac:dyDescent="0.25">
      <c r="A394" s="11" t="s">
        <v>443</v>
      </c>
      <c r="B394" s="11" t="s">
        <v>444</v>
      </c>
      <c r="C394">
        <v>3.9</v>
      </c>
      <c r="D394">
        <v>33844</v>
      </c>
      <c r="E394">
        <v>20</v>
      </c>
      <c r="F394">
        <v>2013</v>
      </c>
      <c r="G394" s="11" t="s">
        <v>12</v>
      </c>
    </row>
    <row r="395" spans="1:7" x14ac:dyDescent="0.25">
      <c r="A395" s="11" t="s">
        <v>443</v>
      </c>
      <c r="B395" s="11" t="s">
        <v>444</v>
      </c>
      <c r="C395">
        <v>3.9</v>
      </c>
      <c r="D395">
        <v>33844</v>
      </c>
      <c r="E395">
        <v>20</v>
      </c>
      <c r="F395">
        <v>2014</v>
      </c>
      <c r="G395" s="11" t="s">
        <v>12</v>
      </c>
    </row>
    <row r="396" spans="1:7" x14ac:dyDescent="0.25">
      <c r="A396" s="11" t="s">
        <v>445</v>
      </c>
      <c r="B396" s="11" t="s">
        <v>446</v>
      </c>
      <c r="C396">
        <v>4.4000000000000004</v>
      </c>
      <c r="D396">
        <v>11616</v>
      </c>
      <c r="E396">
        <v>7</v>
      </c>
      <c r="F396">
        <v>2012</v>
      </c>
      <c r="G396" s="11" t="s">
        <v>12</v>
      </c>
    </row>
    <row r="397" spans="1:7" x14ac:dyDescent="0.25">
      <c r="A397" s="11" t="s">
        <v>445</v>
      </c>
      <c r="B397" s="11" t="s">
        <v>446</v>
      </c>
      <c r="C397">
        <v>4.4000000000000004</v>
      </c>
      <c r="D397">
        <v>11616</v>
      </c>
      <c r="E397">
        <v>7</v>
      </c>
      <c r="F397">
        <v>2013</v>
      </c>
      <c r="G397" s="11" t="s">
        <v>12</v>
      </c>
    </row>
    <row r="398" spans="1:7" x14ac:dyDescent="0.25">
      <c r="A398" s="11" t="s">
        <v>445</v>
      </c>
      <c r="B398" s="11" t="s">
        <v>446</v>
      </c>
      <c r="C398">
        <v>4.4000000000000004</v>
      </c>
      <c r="D398">
        <v>11616</v>
      </c>
      <c r="E398">
        <v>7</v>
      </c>
      <c r="F398">
        <v>2014</v>
      </c>
      <c r="G398" s="11" t="s">
        <v>12</v>
      </c>
    </row>
    <row r="399" spans="1:7" x14ac:dyDescent="0.25">
      <c r="A399" s="11" t="s">
        <v>447</v>
      </c>
      <c r="B399" s="11" t="s">
        <v>376</v>
      </c>
      <c r="C399">
        <v>4.5</v>
      </c>
      <c r="D399">
        <v>13609</v>
      </c>
      <c r="E399">
        <v>14</v>
      </c>
      <c r="F399">
        <v>2019</v>
      </c>
      <c r="G399" s="11" t="s">
        <v>12</v>
      </c>
    </row>
    <row r="400" spans="1:7" x14ac:dyDescent="0.25">
      <c r="A400" s="11" t="s">
        <v>448</v>
      </c>
      <c r="B400" s="11" t="s">
        <v>449</v>
      </c>
      <c r="C400">
        <v>4.7</v>
      </c>
      <c r="D400">
        <v>8587</v>
      </c>
      <c r="E400">
        <v>10</v>
      </c>
      <c r="F400">
        <v>2009</v>
      </c>
      <c r="G400" s="11" t="s">
        <v>12</v>
      </c>
    </row>
    <row r="401" spans="1:7" x14ac:dyDescent="0.25">
      <c r="A401" s="11" t="s">
        <v>450</v>
      </c>
      <c r="B401" s="11" t="s">
        <v>451</v>
      </c>
      <c r="C401">
        <v>4.3</v>
      </c>
      <c r="D401">
        <v>29442</v>
      </c>
      <c r="E401">
        <v>7</v>
      </c>
      <c r="F401">
        <v>2017</v>
      </c>
      <c r="G401" s="11" t="s">
        <v>12</v>
      </c>
    </row>
    <row r="402" spans="1:7" x14ac:dyDescent="0.25">
      <c r="A402" s="11" t="s">
        <v>452</v>
      </c>
      <c r="B402" s="11" t="s">
        <v>453</v>
      </c>
      <c r="C402">
        <v>4.5999999999999996</v>
      </c>
      <c r="D402">
        <v>11098</v>
      </c>
      <c r="E402">
        <v>13</v>
      </c>
      <c r="F402">
        <v>2012</v>
      </c>
      <c r="G402" s="11" t="s">
        <v>12</v>
      </c>
    </row>
    <row r="403" spans="1:7" x14ac:dyDescent="0.25">
      <c r="A403" s="11" t="s">
        <v>454</v>
      </c>
      <c r="B403" s="11" t="s">
        <v>455</v>
      </c>
      <c r="C403">
        <v>4.8</v>
      </c>
      <c r="D403">
        <v>9947</v>
      </c>
      <c r="E403">
        <v>11</v>
      </c>
      <c r="F403">
        <v>2018</v>
      </c>
      <c r="G403" s="11" t="s">
        <v>12</v>
      </c>
    </row>
    <row r="404" spans="1:7" x14ac:dyDescent="0.25">
      <c r="A404" s="11" t="s">
        <v>456</v>
      </c>
      <c r="B404" s="11" t="s">
        <v>457</v>
      </c>
      <c r="C404">
        <v>4.8</v>
      </c>
      <c r="D404">
        <v>13871</v>
      </c>
      <c r="E404">
        <v>6</v>
      </c>
      <c r="F404">
        <v>2009</v>
      </c>
      <c r="G404" s="11" t="s">
        <v>12</v>
      </c>
    </row>
    <row r="405" spans="1:7" x14ac:dyDescent="0.25">
      <c r="A405" s="11" t="s">
        <v>456</v>
      </c>
      <c r="B405" s="11" t="s">
        <v>457</v>
      </c>
      <c r="C405">
        <v>4.8</v>
      </c>
      <c r="D405">
        <v>13871</v>
      </c>
      <c r="E405">
        <v>6</v>
      </c>
      <c r="F405">
        <v>2010</v>
      </c>
      <c r="G405" s="11" t="s">
        <v>12</v>
      </c>
    </row>
    <row r="406" spans="1:7" x14ac:dyDescent="0.25">
      <c r="A406" s="11" t="s">
        <v>456</v>
      </c>
      <c r="B406" s="11" t="s">
        <v>457</v>
      </c>
      <c r="C406">
        <v>4.8</v>
      </c>
      <c r="D406">
        <v>13871</v>
      </c>
      <c r="E406">
        <v>8</v>
      </c>
      <c r="F406">
        <v>2011</v>
      </c>
      <c r="G406" s="11" t="s">
        <v>12</v>
      </c>
    </row>
    <row r="407" spans="1:7" x14ac:dyDescent="0.25">
      <c r="A407" s="11" t="s">
        <v>456</v>
      </c>
      <c r="B407" s="11" t="s">
        <v>457</v>
      </c>
      <c r="C407">
        <v>4.8</v>
      </c>
      <c r="D407">
        <v>13871</v>
      </c>
      <c r="E407">
        <v>7</v>
      </c>
      <c r="F407">
        <v>2011</v>
      </c>
      <c r="G407" s="11" t="s">
        <v>12</v>
      </c>
    </row>
    <row r="408" spans="1:7" x14ac:dyDescent="0.25">
      <c r="A408" s="11" t="s">
        <v>458</v>
      </c>
      <c r="B408" s="11" t="s">
        <v>332</v>
      </c>
      <c r="C408">
        <v>4.8</v>
      </c>
      <c r="D408">
        <v>6982</v>
      </c>
      <c r="E408">
        <v>14</v>
      </c>
      <c r="F408">
        <v>2013</v>
      </c>
      <c r="G408" s="11" t="s">
        <v>12</v>
      </c>
    </row>
    <row r="409" spans="1:7" x14ac:dyDescent="0.25">
      <c r="A409" s="11" t="s">
        <v>459</v>
      </c>
      <c r="B409" s="11" t="s">
        <v>87</v>
      </c>
      <c r="C409">
        <v>4.7</v>
      </c>
      <c r="D409">
        <v>32122</v>
      </c>
      <c r="E409">
        <v>14</v>
      </c>
      <c r="F409">
        <v>2010</v>
      </c>
      <c r="G409" s="11" t="s">
        <v>12</v>
      </c>
    </row>
    <row r="410" spans="1:7" x14ac:dyDescent="0.25">
      <c r="A410" s="11" t="s">
        <v>460</v>
      </c>
      <c r="B410" s="11" t="s">
        <v>87</v>
      </c>
      <c r="C410">
        <v>4.7</v>
      </c>
      <c r="D410">
        <v>32122</v>
      </c>
      <c r="E410">
        <v>8</v>
      </c>
      <c r="F410">
        <v>2011</v>
      </c>
      <c r="G410" s="11" t="s">
        <v>12</v>
      </c>
    </row>
    <row r="411" spans="1:7" x14ac:dyDescent="0.25">
      <c r="A411" s="11" t="s">
        <v>460</v>
      </c>
      <c r="B411" s="11" t="s">
        <v>87</v>
      </c>
      <c r="C411">
        <v>4.7</v>
      </c>
      <c r="D411">
        <v>32122</v>
      </c>
      <c r="E411">
        <v>8</v>
      </c>
      <c r="F411">
        <v>2012</v>
      </c>
      <c r="G411" s="11" t="s">
        <v>12</v>
      </c>
    </row>
    <row r="412" spans="1:7" x14ac:dyDescent="0.25">
      <c r="A412" s="11" t="s">
        <v>461</v>
      </c>
      <c r="B412" s="11" t="s">
        <v>87</v>
      </c>
      <c r="C412">
        <v>4.8</v>
      </c>
      <c r="D412">
        <v>16949</v>
      </c>
      <c r="E412">
        <v>30</v>
      </c>
      <c r="F412">
        <v>2011</v>
      </c>
      <c r="G412" s="11" t="s">
        <v>12</v>
      </c>
    </row>
    <row r="413" spans="1:7" x14ac:dyDescent="0.25">
      <c r="A413" s="11" t="s">
        <v>461</v>
      </c>
      <c r="B413" s="11" t="s">
        <v>87</v>
      </c>
      <c r="C413">
        <v>4.8</v>
      </c>
      <c r="D413">
        <v>16949</v>
      </c>
      <c r="E413">
        <v>30</v>
      </c>
      <c r="F413">
        <v>2012</v>
      </c>
      <c r="G413" s="11" t="s">
        <v>12</v>
      </c>
    </row>
    <row r="414" spans="1:7" x14ac:dyDescent="0.25">
      <c r="A414" s="11" t="s">
        <v>462</v>
      </c>
      <c r="B414" s="11" t="s">
        <v>463</v>
      </c>
      <c r="C414">
        <v>4.7</v>
      </c>
      <c r="D414">
        <v>9289</v>
      </c>
      <c r="E414">
        <v>13</v>
      </c>
      <c r="F414">
        <v>2010</v>
      </c>
      <c r="G414" s="11" t="s">
        <v>9</v>
      </c>
    </row>
    <row r="415" spans="1:7" x14ac:dyDescent="0.25">
      <c r="A415" s="11" t="s">
        <v>462</v>
      </c>
      <c r="B415" s="11" t="s">
        <v>463</v>
      </c>
      <c r="C415">
        <v>4.7</v>
      </c>
      <c r="D415">
        <v>9289</v>
      </c>
      <c r="E415">
        <v>9</v>
      </c>
      <c r="F415">
        <v>2011</v>
      </c>
      <c r="G415" s="11" t="s">
        <v>9</v>
      </c>
    </row>
    <row r="416" spans="1:7" x14ac:dyDescent="0.25">
      <c r="A416" s="11" t="s">
        <v>462</v>
      </c>
      <c r="B416" s="11" t="s">
        <v>463</v>
      </c>
      <c r="C416">
        <v>4.7</v>
      </c>
      <c r="D416">
        <v>9289</v>
      </c>
      <c r="E416">
        <v>9</v>
      </c>
      <c r="F416">
        <v>2012</v>
      </c>
      <c r="G416" s="11" t="s">
        <v>9</v>
      </c>
    </row>
    <row r="417" spans="1:7" x14ac:dyDescent="0.25">
      <c r="A417" s="11" t="s">
        <v>464</v>
      </c>
      <c r="B417" s="11" t="s">
        <v>465</v>
      </c>
      <c r="C417">
        <v>4.3</v>
      </c>
      <c r="D417">
        <v>7368</v>
      </c>
      <c r="E417">
        <v>7</v>
      </c>
      <c r="F417">
        <v>2017</v>
      </c>
      <c r="G417" s="11" t="s">
        <v>9</v>
      </c>
    </row>
    <row r="418" spans="1:7" x14ac:dyDescent="0.25">
      <c r="A418" s="11" t="s">
        <v>464</v>
      </c>
      <c r="B418" s="11" t="s">
        <v>465</v>
      </c>
      <c r="C418">
        <v>4.3</v>
      </c>
      <c r="D418">
        <v>7368</v>
      </c>
      <c r="E418">
        <v>7</v>
      </c>
      <c r="F418">
        <v>2018</v>
      </c>
      <c r="G418" s="11" t="s">
        <v>9</v>
      </c>
    </row>
    <row r="419" spans="1:7" x14ac:dyDescent="0.25">
      <c r="A419" s="11" t="s">
        <v>466</v>
      </c>
      <c r="B419" s="11" t="s">
        <v>467</v>
      </c>
      <c r="C419">
        <v>4.7</v>
      </c>
      <c r="D419">
        <v>4028</v>
      </c>
      <c r="E419">
        <v>9</v>
      </c>
      <c r="F419">
        <v>2009</v>
      </c>
      <c r="G419" s="11" t="s">
        <v>9</v>
      </c>
    </row>
    <row r="420" spans="1:7" x14ac:dyDescent="0.25">
      <c r="A420" s="11" t="s">
        <v>468</v>
      </c>
      <c r="B420" s="11" t="s">
        <v>332</v>
      </c>
      <c r="C420">
        <v>4.8</v>
      </c>
      <c r="D420">
        <v>4628</v>
      </c>
      <c r="E420">
        <v>7</v>
      </c>
      <c r="F420">
        <v>2009</v>
      </c>
      <c r="G420" s="11" t="s">
        <v>12</v>
      </c>
    </row>
    <row r="421" spans="1:7" x14ac:dyDescent="0.25">
      <c r="A421" s="11" t="s">
        <v>468</v>
      </c>
      <c r="B421" s="11" t="s">
        <v>332</v>
      </c>
      <c r="C421">
        <v>4.8</v>
      </c>
      <c r="D421">
        <v>4628</v>
      </c>
      <c r="E421">
        <v>7</v>
      </c>
      <c r="F421">
        <v>2010</v>
      </c>
      <c r="G421" s="11" t="s">
        <v>12</v>
      </c>
    </row>
    <row r="422" spans="1:7" x14ac:dyDescent="0.25">
      <c r="A422" s="11" t="s">
        <v>469</v>
      </c>
      <c r="B422" s="11" t="s">
        <v>470</v>
      </c>
      <c r="C422">
        <v>4.9000000000000004</v>
      </c>
      <c r="D422">
        <v>5396</v>
      </c>
      <c r="E422">
        <v>20</v>
      </c>
      <c r="F422">
        <v>2013</v>
      </c>
      <c r="G422" s="11" t="s">
        <v>12</v>
      </c>
    </row>
    <row r="423" spans="1:7" x14ac:dyDescent="0.25">
      <c r="A423" s="11" t="s">
        <v>471</v>
      </c>
      <c r="B423" s="11" t="s">
        <v>472</v>
      </c>
      <c r="C423">
        <v>4.4000000000000004</v>
      </c>
      <c r="D423">
        <v>4247</v>
      </c>
      <c r="E423">
        <v>13</v>
      </c>
      <c r="F423">
        <v>2011</v>
      </c>
      <c r="G423" s="11" t="s">
        <v>9</v>
      </c>
    </row>
    <row r="424" spans="1:7" x14ac:dyDescent="0.25">
      <c r="A424" s="11" t="s">
        <v>471</v>
      </c>
      <c r="B424" s="11" t="s">
        <v>472</v>
      </c>
      <c r="C424">
        <v>4.4000000000000004</v>
      </c>
      <c r="D424">
        <v>4247</v>
      </c>
      <c r="E424">
        <v>13</v>
      </c>
      <c r="F424">
        <v>2012</v>
      </c>
      <c r="G424" s="11" t="s">
        <v>9</v>
      </c>
    </row>
    <row r="425" spans="1:7" x14ac:dyDescent="0.25">
      <c r="A425" s="11" t="s">
        <v>473</v>
      </c>
      <c r="B425" s="11" t="s">
        <v>474</v>
      </c>
      <c r="C425">
        <v>4.5</v>
      </c>
      <c r="D425">
        <v>22641</v>
      </c>
      <c r="E425">
        <v>11</v>
      </c>
      <c r="F425">
        <v>2015</v>
      </c>
      <c r="G425" s="11" t="s">
        <v>9</v>
      </c>
    </row>
    <row r="426" spans="1:7" x14ac:dyDescent="0.25">
      <c r="A426" s="11" t="s">
        <v>473</v>
      </c>
      <c r="B426" s="11" t="s">
        <v>474</v>
      </c>
      <c r="C426">
        <v>4.5</v>
      </c>
      <c r="D426">
        <v>22641</v>
      </c>
      <c r="E426">
        <v>11</v>
      </c>
      <c r="F426">
        <v>2016</v>
      </c>
      <c r="G426" s="11" t="s">
        <v>9</v>
      </c>
    </row>
    <row r="427" spans="1:7" x14ac:dyDescent="0.25">
      <c r="A427" s="11" t="s">
        <v>473</v>
      </c>
      <c r="B427" s="11" t="s">
        <v>474</v>
      </c>
      <c r="C427">
        <v>4.5</v>
      </c>
      <c r="D427">
        <v>22641</v>
      </c>
      <c r="E427">
        <v>11</v>
      </c>
      <c r="F427">
        <v>2017</v>
      </c>
      <c r="G427" s="11" t="s">
        <v>9</v>
      </c>
    </row>
    <row r="428" spans="1:7" x14ac:dyDescent="0.25">
      <c r="A428" s="11" t="s">
        <v>473</v>
      </c>
      <c r="B428" s="11" t="s">
        <v>474</v>
      </c>
      <c r="C428">
        <v>4.5</v>
      </c>
      <c r="D428">
        <v>22641</v>
      </c>
      <c r="E428">
        <v>11</v>
      </c>
      <c r="F428">
        <v>2019</v>
      </c>
      <c r="G428" s="11" t="s">
        <v>9</v>
      </c>
    </row>
    <row r="429" spans="1:7" x14ac:dyDescent="0.25">
      <c r="A429" s="11" t="s">
        <v>475</v>
      </c>
      <c r="B429" s="11" t="s">
        <v>376</v>
      </c>
      <c r="C429">
        <v>4.4000000000000004</v>
      </c>
      <c r="D429">
        <v>6222</v>
      </c>
      <c r="E429">
        <v>18</v>
      </c>
      <c r="F429">
        <v>2011</v>
      </c>
      <c r="G429" s="11" t="s">
        <v>12</v>
      </c>
    </row>
    <row r="430" spans="1:7" x14ac:dyDescent="0.25">
      <c r="A430" s="11" t="s">
        <v>476</v>
      </c>
      <c r="B430" s="11" t="s">
        <v>332</v>
      </c>
      <c r="C430">
        <v>4.8</v>
      </c>
      <c r="D430">
        <v>4506</v>
      </c>
      <c r="E430">
        <v>14</v>
      </c>
      <c r="F430">
        <v>2010</v>
      </c>
      <c r="G430" s="11" t="s">
        <v>12</v>
      </c>
    </row>
    <row r="431" spans="1:7" x14ac:dyDescent="0.25">
      <c r="A431" s="11" t="s">
        <v>477</v>
      </c>
      <c r="B431" s="11" t="s">
        <v>244</v>
      </c>
      <c r="C431">
        <v>4.2</v>
      </c>
      <c r="D431">
        <v>8747</v>
      </c>
      <c r="E431">
        <v>19</v>
      </c>
      <c r="F431">
        <v>2009</v>
      </c>
      <c r="G431" s="11" t="s">
        <v>12</v>
      </c>
    </row>
    <row r="432" spans="1:7" x14ac:dyDescent="0.25">
      <c r="A432" s="11" t="s">
        <v>478</v>
      </c>
      <c r="B432" s="11" t="s">
        <v>479</v>
      </c>
      <c r="C432">
        <v>4.8</v>
      </c>
      <c r="D432">
        <v>1655</v>
      </c>
      <c r="E432">
        <v>13</v>
      </c>
      <c r="F432">
        <v>2009</v>
      </c>
      <c r="G432" s="11" t="s">
        <v>9</v>
      </c>
    </row>
    <row r="433" spans="1:7" x14ac:dyDescent="0.25">
      <c r="A433" s="11" t="s">
        <v>480</v>
      </c>
      <c r="B433" s="11" t="s">
        <v>481</v>
      </c>
      <c r="C433">
        <v>4.9000000000000004</v>
      </c>
      <c r="D433">
        <v>7861</v>
      </c>
      <c r="E433">
        <v>5</v>
      </c>
      <c r="F433">
        <v>2016</v>
      </c>
      <c r="G433" s="11" t="s">
        <v>9</v>
      </c>
    </row>
    <row r="434" spans="1:7" x14ac:dyDescent="0.25">
      <c r="A434" s="11" t="s">
        <v>482</v>
      </c>
      <c r="B434" s="11" t="s">
        <v>332</v>
      </c>
      <c r="C434">
        <v>4.8</v>
      </c>
      <c r="D434">
        <v>6247</v>
      </c>
      <c r="E434">
        <v>10</v>
      </c>
      <c r="F434">
        <v>2012</v>
      </c>
      <c r="G434" s="11" t="s">
        <v>12</v>
      </c>
    </row>
    <row r="435" spans="1:7" x14ac:dyDescent="0.25">
      <c r="A435" s="11" t="s">
        <v>483</v>
      </c>
      <c r="B435" s="11" t="s">
        <v>484</v>
      </c>
      <c r="C435">
        <v>4.7</v>
      </c>
      <c r="D435">
        <v>39459</v>
      </c>
      <c r="E435">
        <v>9</v>
      </c>
      <c r="F435">
        <v>2015</v>
      </c>
      <c r="G435" s="11" t="s">
        <v>12</v>
      </c>
    </row>
    <row r="436" spans="1:7" x14ac:dyDescent="0.25">
      <c r="A436" s="11" t="s">
        <v>485</v>
      </c>
      <c r="B436" s="11" t="s">
        <v>486</v>
      </c>
      <c r="C436">
        <v>4.5</v>
      </c>
      <c r="D436">
        <v>10101</v>
      </c>
      <c r="E436">
        <v>8</v>
      </c>
      <c r="F436">
        <v>2014</v>
      </c>
      <c r="G436" s="11" t="s">
        <v>12</v>
      </c>
    </row>
    <row r="437" spans="1:7" x14ac:dyDescent="0.25">
      <c r="A437" s="11" t="s">
        <v>487</v>
      </c>
      <c r="B437" s="11" t="s">
        <v>79</v>
      </c>
      <c r="C437">
        <v>4.8</v>
      </c>
      <c r="D437">
        <v>5898</v>
      </c>
      <c r="E437">
        <v>8</v>
      </c>
      <c r="F437">
        <v>2018</v>
      </c>
      <c r="G437" s="11" t="s">
        <v>12</v>
      </c>
    </row>
    <row r="438" spans="1:7" x14ac:dyDescent="0.25">
      <c r="A438" s="11" t="s">
        <v>488</v>
      </c>
      <c r="B438" s="11" t="s">
        <v>489</v>
      </c>
      <c r="C438">
        <v>4.5999999999999996</v>
      </c>
      <c r="D438">
        <v>2744</v>
      </c>
      <c r="E438">
        <v>12</v>
      </c>
      <c r="F438">
        <v>2019</v>
      </c>
      <c r="G438" s="11" t="s">
        <v>9</v>
      </c>
    </row>
    <row r="439" spans="1:7" x14ac:dyDescent="0.25">
      <c r="A439" s="11" t="s">
        <v>490</v>
      </c>
      <c r="B439" s="11" t="s">
        <v>491</v>
      </c>
      <c r="C439">
        <v>4.8</v>
      </c>
      <c r="D439">
        <v>49288</v>
      </c>
      <c r="E439">
        <v>11</v>
      </c>
      <c r="F439">
        <v>2015</v>
      </c>
      <c r="G439" s="11" t="s">
        <v>12</v>
      </c>
    </row>
    <row r="440" spans="1:7" x14ac:dyDescent="0.25">
      <c r="A440" s="11" t="s">
        <v>490</v>
      </c>
      <c r="B440" s="11" t="s">
        <v>491</v>
      </c>
      <c r="C440">
        <v>4.8</v>
      </c>
      <c r="D440">
        <v>49288</v>
      </c>
      <c r="E440">
        <v>11</v>
      </c>
      <c r="F440">
        <v>2016</v>
      </c>
      <c r="G440" s="11" t="s">
        <v>12</v>
      </c>
    </row>
    <row r="441" spans="1:7" x14ac:dyDescent="0.25">
      <c r="A441" s="11" t="s">
        <v>492</v>
      </c>
      <c r="B441" s="11" t="s">
        <v>493</v>
      </c>
      <c r="C441">
        <v>4.4000000000000004</v>
      </c>
      <c r="D441">
        <v>1201</v>
      </c>
      <c r="E441">
        <v>40</v>
      </c>
      <c r="F441">
        <v>2010</v>
      </c>
      <c r="G441" s="11" t="s">
        <v>9</v>
      </c>
    </row>
    <row r="442" spans="1:7" x14ac:dyDescent="0.25">
      <c r="A442" s="11" t="s">
        <v>492</v>
      </c>
      <c r="B442" s="11" t="s">
        <v>493</v>
      </c>
      <c r="C442">
        <v>4.4000000000000004</v>
      </c>
      <c r="D442">
        <v>1201</v>
      </c>
      <c r="E442">
        <v>40</v>
      </c>
      <c r="F442">
        <v>2011</v>
      </c>
      <c r="G442" s="11" t="s">
        <v>9</v>
      </c>
    </row>
    <row r="443" spans="1:7" x14ac:dyDescent="0.25">
      <c r="A443" s="11" t="s">
        <v>492</v>
      </c>
      <c r="B443" s="11" t="s">
        <v>493</v>
      </c>
      <c r="C443">
        <v>4.4000000000000004</v>
      </c>
      <c r="D443">
        <v>1201</v>
      </c>
      <c r="E443">
        <v>40</v>
      </c>
      <c r="F443">
        <v>2012</v>
      </c>
      <c r="G443" s="11" t="s">
        <v>9</v>
      </c>
    </row>
    <row r="444" spans="1:7" x14ac:dyDescent="0.25">
      <c r="A444" s="11" t="s">
        <v>492</v>
      </c>
      <c r="B444" s="11" t="s">
        <v>493</v>
      </c>
      <c r="C444">
        <v>4.4000000000000004</v>
      </c>
      <c r="D444">
        <v>1201</v>
      </c>
      <c r="E444">
        <v>40</v>
      </c>
      <c r="F444">
        <v>2013</v>
      </c>
      <c r="G444" s="11" t="s">
        <v>9</v>
      </c>
    </row>
    <row r="445" spans="1:7" x14ac:dyDescent="0.25">
      <c r="A445" s="11" t="s">
        <v>492</v>
      </c>
      <c r="B445" s="11" t="s">
        <v>493</v>
      </c>
      <c r="C445">
        <v>4.4000000000000004</v>
      </c>
      <c r="D445">
        <v>1201</v>
      </c>
      <c r="E445">
        <v>40</v>
      </c>
      <c r="F445">
        <v>2014</v>
      </c>
      <c r="G445" s="11" t="s">
        <v>9</v>
      </c>
    </row>
    <row r="446" spans="1:7" x14ac:dyDescent="0.25">
      <c r="A446" s="11" t="s">
        <v>494</v>
      </c>
      <c r="B446" s="11" t="s">
        <v>493</v>
      </c>
      <c r="C446">
        <v>4.3</v>
      </c>
      <c r="D446">
        <v>807</v>
      </c>
      <c r="E446">
        <v>36</v>
      </c>
      <c r="F446">
        <v>2016</v>
      </c>
      <c r="G446" s="11" t="s">
        <v>9</v>
      </c>
    </row>
    <row r="447" spans="1:7" x14ac:dyDescent="0.25">
      <c r="A447" s="11" t="s">
        <v>495</v>
      </c>
      <c r="B447" s="11" t="s">
        <v>496</v>
      </c>
      <c r="C447">
        <v>4.3</v>
      </c>
      <c r="D447">
        <v>3759</v>
      </c>
      <c r="E447">
        <v>16</v>
      </c>
      <c r="F447">
        <v>2011</v>
      </c>
      <c r="G447" s="11" t="s">
        <v>12</v>
      </c>
    </row>
    <row r="448" spans="1:7" x14ac:dyDescent="0.25">
      <c r="A448" s="11" t="s">
        <v>497</v>
      </c>
      <c r="B448" s="11" t="s">
        <v>498</v>
      </c>
      <c r="C448">
        <v>4.8</v>
      </c>
      <c r="D448">
        <v>2663</v>
      </c>
      <c r="E448">
        <v>17</v>
      </c>
      <c r="F448">
        <v>2013</v>
      </c>
      <c r="G448" s="11" t="s">
        <v>9</v>
      </c>
    </row>
    <row r="449" spans="1:7" x14ac:dyDescent="0.25">
      <c r="A449" s="11" t="s">
        <v>499</v>
      </c>
      <c r="B449" s="11" t="s">
        <v>498</v>
      </c>
      <c r="C449">
        <v>4.8</v>
      </c>
      <c r="D449">
        <v>3428</v>
      </c>
      <c r="E449">
        <v>14</v>
      </c>
      <c r="F449">
        <v>2015</v>
      </c>
      <c r="G449" s="11" t="s">
        <v>9</v>
      </c>
    </row>
    <row r="450" spans="1:7" x14ac:dyDescent="0.25">
      <c r="A450" s="11" t="s">
        <v>500</v>
      </c>
      <c r="B450" s="11" t="s">
        <v>498</v>
      </c>
      <c r="C450">
        <v>4.8</v>
      </c>
      <c r="D450">
        <v>2876</v>
      </c>
      <c r="E450">
        <v>21</v>
      </c>
      <c r="F450">
        <v>2012</v>
      </c>
      <c r="G450" s="11" t="s">
        <v>9</v>
      </c>
    </row>
    <row r="451" spans="1:7" x14ac:dyDescent="0.25">
      <c r="A451" s="11" t="s">
        <v>501</v>
      </c>
      <c r="B451" s="11" t="s">
        <v>502</v>
      </c>
      <c r="C451">
        <v>4.5</v>
      </c>
      <c r="D451">
        <v>3601</v>
      </c>
      <c r="E451">
        <v>18</v>
      </c>
      <c r="F451">
        <v>2018</v>
      </c>
      <c r="G451" s="11" t="s">
        <v>9</v>
      </c>
    </row>
    <row r="452" spans="1:7" x14ac:dyDescent="0.25">
      <c r="A452" s="11" t="s">
        <v>503</v>
      </c>
      <c r="B452" s="11" t="s">
        <v>502</v>
      </c>
      <c r="C452">
        <v>4.4000000000000004</v>
      </c>
      <c r="D452">
        <v>7058</v>
      </c>
      <c r="E452">
        <v>17</v>
      </c>
      <c r="F452">
        <v>2018</v>
      </c>
      <c r="G452" s="11" t="s">
        <v>9</v>
      </c>
    </row>
    <row r="453" spans="1:7" x14ac:dyDescent="0.25">
      <c r="A453" s="11" t="s">
        <v>504</v>
      </c>
      <c r="B453" s="11" t="s">
        <v>505</v>
      </c>
      <c r="C453">
        <v>4.8</v>
      </c>
      <c r="D453">
        <v>9784</v>
      </c>
      <c r="E453">
        <v>5</v>
      </c>
      <c r="F453">
        <v>2017</v>
      </c>
      <c r="G453" s="11" t="s">
        <v>12</v>
      </c>
    </row>
    <row r="454" spans="1:7" x14ac:dyDescent="0.25">
      <c r="A454" s="11" t="s">
        <v>504</v>
      </c>
      <c r="B454" s="11" t="s">
        <v>505</v>
      </c>
      <c r="C454">
        <v>4.8</v>
      </c>
      <c r="D454">
        <v>9784</v>
      </c>
      <c r="E454">
        <v>5</v>
      </c>
      <c r="F454">
        <v>2018</v>
      </c>
      <c r="G454" s="11" t="s">
        <v>12</v>
      </c>
    </row>
    <row r="455" spans="1:7" x14ac:dyDescent="0.25">
      <c r="A455" s="11" t="s">
        <v>506</v>
      </c>
      <c r="B455" s="11" t="s">
        <v>507</v>
      </c>
      <c r="C455">
        <v>4.5999999999999996</v>
      </c>
      <c r="D455">
        <v>10795</v>
      </c>
      <c r="E455">
        <v>21</v>
      </c>
      <c r="F455">
        <v>2012</v>
      </c>
      <c r="G455" s="11" t="s">
        <v>9</v>
      </c>
    </row>
    <row r="456" spans="1:7" x14ac:dyDescent="0.25">
      <c r="A456" s="11" t="s">
        <v>508</v>
      </c>
      <c r="B456" s="11" t="s">
        <v>236</v>
      </c>
      <c r="C456">
        <v>4.3</v>
      </c>
      <c r="D456">
        <v>10191</v>
      </c>
      <c r="E456">
        <v>18</v>
      </c>
      <c r="F456">
        <v>2018</v>
      </c>
      <c r="G456" s="11" t="s">
        <v>12</v>
      </c>
    </row>
    <row r="457" spans="1:7" x14ac:dyDescent="0.25">
      <c r="A457" s="11" t="s">
        <v>509</v>
      </c>
      <c r="B457" s="11" t="s">
        <v>376</v>
      </c>
      <c r="C457">
        <v>4.3</v>
      </c>
      <c r="D457">
        <v>14493</v>
      </c>
      <c r="E457">
        <v>18</v>
      </c>
      <c r="F457">
        <v>2012</v>
      </c>
      <c r="G457" s="11" t="s">
        <v>12</v>
      </c>
    </row>
    <row r="458" spans="1:7" x14ac:dyDescent="0.25">
      <c r="A458" s="11" t="s">
        <v>510</v>
      </c>
      <c r="B458" s="11" t="s">
        <v>332</v>
      </c>
      <c r="C458">
        <v>4.5999999999999996</v>
      </c>
      <c r="D458">
        <v>2186</v>
      </c>
      <c r="E458">
        <v>12</v>
      </c>
      <c r="F458">
        <v>2010</v>
      </c>
      <c r="G458" s="11" t="s">
        <v>12</v>
      </c>
    </row>
    <row r="459" spans="1:7" x14ac:dyDescent="0.25">
      <c r="A459" s="11" t="s">
        <v>511</v>
      </c>
      <c r="B459" s="11" t="s">
        <v>512</v>
      </c>
      <c r="C459">
        <v>4.5999999999999996</v>
      </c>
      <c r="D459">
        <v>1204</v>
      </c>
      <c r="E459">
        <v>14</v>
      </c>
      <c r="F459">
        <v>2010</v>
      </c>
      <c r="G459" s="11" t="s">
        <v>9</v>
      </c>
    </row>
    <row r="460" spans="1:7" x14ac:dyDescent="0.25">
      <c r="A460" s="11" t="s">
        <v>513</v>
      </c>
      <c r="B460" s="11" t="s">
        <v>332</v>
      </c>
      <c r="C460">
        <v>4.8</v>
      </c>
      <c r="D460">
        <v>2091</v>
      </c>
      <c r="E460">
        <v>12</v>
      </c>
      <c r="F460">
        <v>2012</v>
      </c>
      <c r="G460" s="11" t="s">
        <v>12</v>
      </c>
    </row>
    <row r="461" spans="1:7" x14ac:dyDescent="0.25">
      <c r="A461" s="11" t="s">
        <v>514</v>
      </c>
      <c r="B461" s="11" t="s">
        <v>515</v>
      </c>
      <c r="C461">
        <v>4.5999999999999996</v>
      </c>
      <c r="D461">
        <v>19720</v>
      </c>
      <c r="E461">
        <v>8</v>
      </c>
      <c r="F461">
        <v>2009</v>
      </c>
      <c r="G461" s="11" t="s">
        <v>12</v>
      </c>
    </row>
    <row r="462" spans="1:7" x14ac:dyDescent="0.25">
      <c r="A462" s="11" t="s">
        <v>514</v>
      </c>
      <c r="B462" s="11" t="s">
        <v>515</v>
      </c>
      <c r="C462">
        <v>4.5999999999999996</v>
      </c>
      <c r="D462">
        <v>19720</v>
      </c>
      <c r="E462">
        <v>8</v>
      </c>
      <c r="F462">
        <v>2017</v>
      </c>
      <c r="G462" s="11" t="s">
        <v>12</v>
      </c>
    </row>
    <row r="463" spans="1:7" x14ac:dyDescent="0.25">
      <c r="A463" s="11" t="s">
        <v>516</v>
      </c>
      <c r="B463" s="11" t="s">
        <v>74</v>
      </c>
      <c r="C463">
        <v>4.5999999999999996</v>
      </c>
      <c r="D463">
        <v>2122</v>
      </c>
      <c r="E463">
        <v>0</v>
      </c>
      <c r="F463">
        <v>2010</v>
      </c>
      <c r="G463" s="11" t="s">
        <v>12</v>
      </c>
    </row>
    <row r="464" spans="1:7" x14ac:dyDescent="0.25">
      <c r="A464" s="11" t="s">
        <v>517</v>
      </c>
      <c r="B464" s="11" t="s">
        <v>518</v>
      </c>
      <c r="C464">
        <v>4.5</v>
      </c>
      <c r="D464">
        <v>27536</v>
      </c>
      <c r="E464">
        <v>14</v>
      </c>
      <c r="F464">
        <v>2019</v>
      </c>
      <c r="G464" s="11" t="s">
        <v>12</v>
      </c>
    </row>
    <row r="465" spans="1:7" x14ac:dyDescent="0.25">
      <c r="A465" s="11" t="s">
        <v>519</v>
      </c>
      <c r="B465" s="11" t="s">
        <v>332</v>
      </c>
      <c r="C465">
        <v>4.8</v>
      </c>
      <c r="D465">
        <v>4290</v>
      </c>
      <c r="E465">
        <v>10</v>
      </c>
      <c r="F465">
        <v>2011</v>
      </c>
      <c r="G465" s="11" t="s">
        <v>12</v>
      </c>
    </row>
    <row r="466" spans="1:7" x14ac:dyDescent="0.25">
      <c r="A466" s="11" t="s">
        <v>520</v>
      </c>
      <c r="B466" s="11" t="s">
        <v>521</v>
      </c>
      <c r="C466">
        <v>4.5999999999999996</v>
      </c>
      <c r="D466">
        <v>26490</v>
      </c>
      <c r="E466">
        <v>15</v>
      </c>
      <c r="F466">
        <v>2017</v>
      </c>
      <c r="G466" s="11" t="s">
        <v>9</v>
      </c>
    </row>
    <row r="467" spans="1:7" x14ac:dyDescent="0.25">
      <c r="A467" s="11" t="s">
        <v>520</v>
      </c>
      <c r="B467" s="11" t="s">
        <v>521</v>
      </c>
      <c r="C467">
        <v>4.5999999999999996</v>
      </c>
      <c r="D467">
        <v>26490</v>
      </c>
      <c r="E467">
        <v>15</v>
      </c>
      <c r="F467">
        <v>2018</v>
      </c>
      <c r="G467" s="11" t="s">
        <v>9</v>
      </c>
    </row>
    <row r="468" spans="1:7" x14ac:dyDescent="0.25">
      <c r="A468" s="11" t="s">
        <v>520</v>
      </c>
      <c r="B468" s="11" t="s">
        <v>521</v>
      </c>
      <c r="C468">
        <v>4.5999999999999996</v>
      </c>
      <c r="D468">
        <v>26490</v>
      </c>
      <c r="E468">
        <v>15</v>
      </c>
      <c r="F468">
        <v>2019</v>
      </c>
      <c r="G468" s="11" t="s">
        <v>9</v>
      </c>
    </row>
    <row r="469" spans="1:7" x14ac:dyDescent="0.25">
      <c r="A469" s="11" t="s">
        <v>522</v>
      </c>
      <c r="B469" s="11" t="s">
        <v>300</v>
      </c>
      <c r="C469">
        <v>4.7</v>
      </c>
      <c r="D469">
        <v>5487</v>
      </c>
      <c r="E469">
        <v>9</v>
      </c>
      <c r="F469">
        <v>2017</v>
      </c>
      <c r="G469" s="11" t="s">
        <v>9</v>
      </c>
    </row>
    <row r="470" spans="1:7" x14ac:dyDescent="0.25">
      <c r="A470" s="11" t="s">
        <v>523</v>
      </c>
      <c r="B470" s="11" t="s">
        <v>79</v>
      </c>
      <c r="C470">
        <v>4.7</v>
      </c>
      <c r="D470">
        <v>6377</v>
      </c>
      <c r="E470">
        <v>7</v>
      </c>
      <c r="F470">
        <v>2012</v>
      </c>
      <c r="G470" s="11" t="s">
        <v>12</v>
      </c>
    </row>
    <row r="471" spans="1:7" x14ac:dyDescent="0.25">
      <c r="A471" s="11" t="s">
        <v>524</v>
      </c>
      <c r="B471" s="11" t="s">
        <v>332</v>
      </c>
      <c r="C471">
        <v>4.7</v>
      </c>
      <c r="D471">
        <v>1463</v>
      </c>
      <c r="E471">
        <v>10</v>
      </c>
      <c r="F471">
        <v>2011</v>
      </c>
      <c r="G471" s="11" t="s">
        <v>12</v>
      </c>
    </row>
    <row r="472" spans="1:7" x14ac:dyDescent="0.25">
      <c r="A472" s="11" t="s">
        <v>525</v>
      </c>
      <c r="B472" s="11" t="s">
        <v>526</v>
      </c>
      <c r="C472">
        <v>4.4000000000000004</v>
      </c>
      <c r="D472">
        <v>3759</v>
      </c>
      <c r="E472">
        <v>6</v>
      </c>
      <c r="F472">
        <v>2009</v>
      </c>
      <c r="G472" s="11" t="s">
        <v>12</v>
      </c>
    </row>
    <row r="473" spans="1:7" x14ac:dyDescent="0.25">
      <c r="A473" s="11" t="s">
        <v>527</v>
      </c>
      <c r="B473" s="11" t="s">
        <v>102</v>
      </c>
      <c r="C473">
        <v>4.4000000000000004</v>
      </c>
      <c r="D473">
        <v>3503</v>
      </c>
      <c r="E473">
        <v>9</v>
      </c>
      <c r="F473">
        <v>2009</v>
      </c>
      <c r="G473" s="11" t="s">
        <v>9</v>
      </c>
    </row>
    <row r="474" spans="1:7" x14ac:dyDescent="0.25">
      <c r="A474" s="11" t="s">
        <v>528</v>
      </c>
      <c r="B474" s="11" t="s">
        <v>529</v>
      </c>
      <c r="C474">
        <v>4.7</v>
      </c>
      <c r="D474">
        <v>11550</v>
      </c>
      <c r="E474">
        <v>10</v>
      </c>
      <c r="F474">
        <v>2019</v>
      </c>
      <c r="G474" s="11" t="s">
        <v>9</v>
      </c>
    </row>
    <row r="475" spans="1:7" x14ac:dyDescent="0.25">
      <c r="A475" s="11" t="s">
        <v>530</v>
      </c>
      <c r="B475" s="11" t="s">
        <v>74</v>
      </c>
      <c r="C475">
        <v>4.7</v>
      </c>
      <c r="D475">
        <v>3801</v>
      </c>
      <c r="E475">
        <v>82</v>
      </c>
      <c r="F475">
        <v>2009</v>
      </c>
      <c r="G475" s="11" t="s">
        <v>12</v>
      </c>
    </row>
    <row r="476" spans="1:7" x14ac:dyDescent="0.25">
      <c r="A476" s="11" t="s">
        <v>531</v>
      </c>
      <c r="B476" s="11" t="s">
        <v>79</v>
      </c>
      <c r="C476">
        <v>4.8</v>
      </c>
      <c r="D476">
        <v>3796</v>
      </c>
      <c r="E476">
        <v>12</v>
      </c>
      <c r="F476">
        <v>2010</v>
      </c>
      <c r="G476" s="11" t="s">
        <v>12</v>
      </c>
    </row>
    <row r="477" spans="1:7" x14ac:dyDescent="0.25">
      <c r="A477" s="11" t="s">
        <v>532</v>
      </c>
      <c r="B477" s="11" t="s">
        <v>533</v>
      </c>
      <c r="C477">
        <v>4.7</v>
      </c>
      <c r="D477">
        <v>9030</v>
      </c>
      <c r="E477">
        <v>10</v>
      </c>
      <c r="F477">
        <v>2019</v>
      </c>
      <c r="G477" s="11" t="s">
        <v>9</v>
      </c>
    </row>
    <row r="478" spans="1:7" x14ac:dyDescent="0.25">
      <c r="A478" s="11" t="s">
        <v>534</v>
      </c>
      <c r="B478" s="11" t="s">
        <v>535</v>
      </c>
      <c r="C478">
        <v>4.9000000000000004</v>
      </c>
      <c r="D478">
        <v>19546</v>
      </c>
      <c r="E478">
        <v>5</v>
      </c>
      <c r="F478">
        <v>2013</v>
      </c>
      <c r="G478" s="11" t="s">
        <v>12</v>
      </c>
    </row>
    <row r="479" spans="1:7" x14ac:dyDescent="0.25">
      <c r="A479" s="11" t="s">
        <v>534</v>
      </c>
      <c r="B479" s="11" t="s">
        <v>535</v>
      </c>
      <c r="C479">
        <v>4.9000000000000004</v>
      </c>
      <c r="D479">
        <v>19546</v>
      </c>
      <c r="E479">
        <v>5</v>
      </c>
      <c r="F479">
        <v>2014</v>
      </c>
      <c r="G479" s="11" t="s">
        <v>12</v>
      </c>
    </row>
    <row r="480" spans="1:7" x14ac:dyDescent="0.25">
      <c r="A480" s="11" t="s">
        <v>534</v>
      </c>
      <c r="B480" s="11" t="s">
        <v>535</v>
      </c>
      <c r="C480">
        <v>4.9000000000000004</v>
      </c>
      <c r="D480">
        <v>19546</v>
      </c>
      <c r="E480">
        <v>5</v>
      </c>
      <c r="F480">
        <v>2015</v>
      </c>
      <c r="G480" s="11" t="s">
        <v>12</v>
      </c>
    </row>
    <row r="481" spans="1:7" x14ac:dyDescent="0.25">
      <c r="A481" s="11" t="s">
        <v>534</v>
      </c>
      <c r="B481" s="11" t="s">
        <v>535</v>
      </c>
      <c r="C481">
        <v>4.9000000000000004</v>
      </c>
      <c r="D481">
        <v>19546</v>
      </c>
      <c r="E481">
        <v>5</v>
      </c>
      <c r="F481">
        <v>2016</v>
      </c>
      <c r="G481" s="11" t="s">
        <v>12</v>
      </c>
    </row>
    <row r="482" spans="1:7" x14ac:dyDescent="0.25">
      <c r="A482" s="11" t="s">
        <v>534</v>
      </c>
      <c r="B482" s="11" t="s">
        <v>535</v>
      </c>
      <c r="C482">
        <v>4.9000000000000004</v>
      </c>
      <c r="D482">
        <v>19546</v>
      </c>
      <c r="E482">
        <v>5</v>
      </c>
      <c r="F482">
        <v>2017</v>
      </c>
      <c r="G482" s="11" t="s">
        <v>12</v>
      </c>
    </row>
    <row r="483" spans="1:7" x14ac:dyDescent="0.25">
      <c r="A483" s="11" t="s">
        <v>534</v>
      </c>
      <c r="B483" s="11" t="s">
        <v>535</v>
      </c>
      <c r="C483">
        <v>4.9000000000000004</v>
      </c>
      <c r="D483">
        <v>19546</v>
      </c>
      <c r="E483">
        <v>5</v>
      </c>
      <c r="F483">
        <v>2018</v>
      </c>
      <c r="G483" s="11" t="s">
        <v>12</v>
      </c>
    </row>
    <row r="484" spans="1:7" x14ac:dyDescent="0.25">
      <c r="A484" s="11" t="s">
        <v>534</v>
      </c>
      <c r="B484" s="11" t="s">
        <v>535</v>
      </c>
      <c r="C484">
        <v>4.9000000000000004</v>
      </c>
      <c r="D484">
        <v>19546</v>
      </c>
      <c r="E484">
        <v>5</v>
      </c>
      <c r="F484">
        <v>2019</v>
      </c>
      <c r="G484" s="11" t="s">
        <v>12</v>
      </c>
    </row>
    <row r="485" spans="1:7" x14ac:dyDescent="0.25">
      <c r="A485" s="11" t="s">
        <v>536</v>
      </c>
      <c r="B485" s="11" t="s">
        <v>537</v>
      </c>
      <c r="C485">
        <v>4.5999999999999996</v>
      </c>
      <c r="D485">
        <v>7508</v>
      </c>
      <c r="E485">
        <v>16</v>
      </c>
      <c r="F485">
        <v>2015</v>
      </c>
      <c r="G485" s="11" t="s">
        <v>9</v>
      </c>
    </row>
    <row r="486" spans="1:7" x14ac:dyDescent="0.25">
      <c r="A486" s="11" t="s">
        <v>536</v>
      </c>
      <c r="B486" s="11" t="s">
        <v>537</v>
      </c>
      <c r="C486">
        <v>4.5999999999999996</v>
      </c>
      <c r="D486">
        <v>7508</v>
      </c>
      <c r="E486">
        <v>16</v>
      </c>
      <c r="F486">
        <v>2016</v>
      </c>
      <c r="G486" s="11" t="s">
        <v>9</v>
      </c>
    </row>
    <row r="487" spans="1:7" x14ac:dyDescent="0.25">
      <c r="A487" s="11" t="s">
        <v>536</v>
      </c>
      <c r="B487" s="11" t="s">
        <v>537</v>
      </c>
      <c r="C487">
        <v>4.5999999999999996</v>
      </c>
      <c r="D487">
        <v>7508</v>
      </c>
      <c r="E487">
        <v>16</v>
      </c>
      <c r="F487">
        <v>2017</v>
      </c>
      <c r="G487" s="11" t="s">
        <v>9</v>
      </c>
    </row>
    <row r="488" spans="1:7" x14ac:dyDescent="0.25">
      <c r="A488" s="11" t="s">
        <v>538</v>
      </c>
      <c r="B488" s="11" t="s">
        <v>539</v>
      </c>
      <c r="C488">
        <v>4.9000000000000004</v>
      </c>
      <c r="D488">
        <v>8842</v>
      </c>
      <c r="E488">
        <v>10</v>
      </c>
      <c r="F488">
        <v>2016</v>
      </c>
      <c r="G488" s="11" t="s">
        <v>12</v>
      </c>
    </row>
    <row r="489" spans="1:7" x14ac:dyDescent="0.25">
      <c r="A489" s="11" t="s">
        <v>538</v>
      </c>
      <c r="B489" s="11" t="s">
        <v>539</v>
      </c>
      <c r="C489">
        <v>4.9000000000000004</v>
      </c>
      <c r="D489">
        <v>8842</v>
      </c>
      <c r="E489">
        <v>10</v>
      </c>
      <c r="F489">
        <v>2017</v>
      </c>
      <c r="G489" s="11" t="s">
        <v>12</v>
      </c>
    </row>
    <row r="490" spans="1:7" x14ac:dyDescent="0.25">
      <c r="A490" s="11" t="s">
        <v>538</v>
      </c>
      <c r="B490" s="11" t="s">
        <v>539</v>
      </c>
      <c r="C490">
        <v>4.9000000000000004</v>
      </c>
      <c r="D490">
        <v>8842</v>
      </c>
      <c r="E490">
        <v>10</v>
      </c>
      <c r="F490">
        <v>2018</v>
      </c>
      <c r="G490" s="11" t="s">
        <v>12</v>
      </c>
    </row>
    <row r="491" spans="1:7" x14ac:dyDescent="0.25">
      <c r="A491" s="11" t="s">
        <v>538</v>
      </c>
      <c r="B491" s="11" t="s">
        <v>539</v>
      </c>
      <c r="C491">
        <v>4.9000000000000004</v>
      </c>
      <c r="D491">
        <v>8842</v>
      </c>
      <c r="E491">
        <v>10</v>
      </c>
      <c r="F491">
        <v>2019</v>
      </c>
      <c r="G491" s="11" t="s">
        <v>12</v>
      </c>
    </row>
    <row r="492" spans="1:7" x14ac:dyDescent="0.25">
      <c r="A492" s="11" t="s">
        <v>540</v>
      </c>
      <c r="B492" s="11" t="s">
        <v>541</v>
      </c>
      <c r="C492">
        <v>4.8</v>
      </c>
      <c r="D492">
        <v>30183</v>
      </c>
      <c r="E492">
        <v>4</v>
      </c>
      <c r="F492">
        <v>2018</v>
      </c>
      <c r="G492" s="11" t="s">
        <v>12</v>
      </c>
    </row>
    <row r="493" spans="1:7" x14ac:dyDescent="0.25">
      <c r="A493" s="11" t="s">
        <v>540</v>
      </c>
      <c r="B493" s="11" t="s">
        <v>541</v>
      </c>
      <c r="C493">
        <v>4.8</v>
      </c>
      <c r="D493">
        <v>30183</v>
      </c>
      <c r="E493">
        <v>4</v>
      </c>
      <c r="F493">
        <v>2019</v>
      </c>
      <c r="G493" s="11" t="s">
        <v>12</v>
      </c>
    </row>
    <row r="494" spans="1:7" x14ac:dyDescent="0.25">
      <c r="A494" s="11" t="s">
        <v>542</v>
      </c>
      <c r="B494" s="11" t="s">
        <v>543</v>
      </c>
      <c r="C494">
        <v>4.7</v>
      </c>
      <c r="D494">
        <v>6169</v>
      </c>
      <c r="E494">
        <v>16</v>
      </c>
      <c r="F494">
        <v>2015</v>
      </c>
      <c r="G494" s="11" t="s">
        <v>9</v>
      </c>
    </row>
    <row r="495" spans="1:7" x14ac:dyDescent="0.25">
      <c r="A495" s="11" t="s">
        <v>544</v>
      </c>
      <c r="B495" s="11" t="s">
        <v>545</v>
      </c>
      <c r="C495">
        <v>4.7</v>
      </c>
      <c r="D495">
        <v>7034</v>
      </c>
      <c r="E495">
        <v>15</v>
      </c>
      <c r="F495">
        <v>2013</v>
      </c>
      <c r="G495" s="11" t="s">
        <v>9</v>
      </c>
    </row>
    <row r="496" spans="1:7" x14ac:dyDescent="0.25">
      <c r="A496" s="11" t="s">
        <v>546</v>
      </c>
      <c r="B496" s="11" t="s">
        <v>547</v>
      </c>
      <c r="C496">
        <v>4.5999999999999996</v>
      </c>
      <c r="D496">
        <v>11034</v>
      </c>
      <c r="E496">
        <v>19</v>
      </c>
      <c r="F496">
        <v>2011</v>
      </c>
      <c r="G496" s="11" t="s">
        <v>9</v>
      </c>
    </row>
    <row r="497" spans="1:7" x14ac:dyDescent="0.25">
      <c r="A497" s="11" t="s">
        <v>546</v>
      </c>
      <c r="B497" s="11" t="s">
        <v>547</v>
      </c>
      <c r="C497">
        <v>4.5999999999999996</v>
      </c>
      <c r="D497">
        <v>11034</v>
      </c>
      <c r="E497">
        <v>19</v>
      </c>
      <c r="F497">
        <v>2012</v>
      </c>
      <c r="G497" s="11" t="s">
        <v>9</v>
      </c>
    </row>
    <row r="498" spans="1:7" x14ac:dyDescent="0.25">
      <c r="A498" s="11" t="s">
        <v>548</v>
      </c>
      <c r="B498" s="11" t="s">
        <v>549</v>
      </c>
      <c r="C498">
        <v>4.5</v>
      </c>
      <c r="D498">
        <v>7932</v>
      </c>
      <c r="E498">
        <v>9</v>
      </c>
      <c r="F498">
        <v>2017</v>
      </c>
      <c r="G498" s="11" t="s">
        <v>12</v>
      </c>
    </row>
    <row r="499" spans="1:7" x14ac:dyDescent="0.25">
      <c r="A499" s="11" t="s">
        <v>550</v>
      </c>
      <c r="B499" s="11" t="s">
        <v>551</v>
      </c>
      <c r="C499">
        <v>4.5</v>
      </c>
      <c r="D499">
        <v>1904</v>
      </c>
      <c r="E499">
        <v>23</v>
      </c>
      <c r="F499">
        <v>2012</v>
      </c>
      <c r="G499" s="11" t="s">
        <v>9</v>
      </c>
    </row>
    <row r="500" spans="1:7" x14ac:dyDescent="0.25">
      <c r="A500" s="11" t="s">
        <v>552</v>
      </c>
      <c r="B500" s="11" t="s">
        <v>553</v>
      </c>
      <c r="C500">
        <v>4.3</v>
      </c>
      <c r="D500">
        <v>3319</v>
      </c>
      <c r="E500">
        <v>11</v>
      </c>
      <c r="F500">
        <v>2009</v>
      </c>
      <c r="G500" s="11" t="s">
        <v>9</v>
      </c>
    </row>
    <row r="501" spans="1:7" x14ac:dyDescent="0.25">
      <c r="A501" s="11" t="s">
        <v>552</v>
      </c>
      <c r="B501" s="11" t="s">
        <v>553</v>
      </c>
      <c r="C501">
        <v>4.3</v>
      </c>
      <c r="D501">
        <v>3319</v>
      </c>
      <c r="E501">
        <v>11</v>
      </c>
      <c r="F501">
        <v>2010</v>
      </c>
      <c r="G501" s="11" t="s">
        <v>9</v>
      </c>
    </row>
    <row r="502" spans="1:7" x14ac:dyDescent="0.25">
      <c r="A502" s="11" t="s">
        <v>554</v>
      </c>
      <c r="B502" s="11" t="s">
        <v>555</v>
      </c>
      <c r="C502">
        <v>4.5999999999999996</v>
      </c>
      <c r="D502">
        <v>11128</v>
      </c>
      <c r="E502">
        <v>23</v>
      </c>
      <c r="F502">
        <v>2014</v>
      </c>
      <c r="G502" s="11" t="s">
        <v>9</v>
      </c>
    </row>
    <row r="503" spans="1:7" x14ac:dyDescent="0.25">
      <c r="A503" s="11" t="s">
        <v>554</v>
      </c>
      <c r="B503" s="11" t="s">
        <v>555</v>
      </c>
      <c r="C503">
        <v>4.5999999999999996</v>
      </c>
      <c r="D503">
        <v>11128</v>
      </c>
      <c r="E503">
        <v>23</v>
      </c>
      <c r="F503">
        <v>2015</v>
      </c>
      <c r="G503" s="11" t="s">
        <v>9</v>
      </c>
    </row>
    <row r="504" spans="1:7" x14ac:dyDescent="0.25">
      <c r="A504" s="11" t="s">
        <v>554</v>
      </c>
      <c r="B504" s="11" t="s">
        <v>555</v>
      </c>
      <c r="C504">
        <v>4.5999999999999996</v>
      </c>
      <c r="D504">
        <v>11128</v>
      </c>
      <c r="E504">
        <v>23</v>
      </c>
      <c r="F504">
        <v>2016</v>
      </c>
      <c r="G504" s="11" t="s">
        <v>9</v>
      </c>
    </row>
    <row r="505" spans="1:7" x14ac:dyDescent="0.25">
      <c r="A505" s="11" t="s">
        <v>554</v>
      </c>
      <c r="B505" s="11" t="s">
        <v>555</v>
      </c>
      <c r="C505">
        <v>4.5999999999999996</v>
      </c>
      <c r="D505">
        <v>11128</v>
      </c>
      <c r="E505">
        <v>23</v>
      </c>
      <c r="F505">
        <v>2017</v>
      </c>
      <c r="G505" s="11" t="s">
        <v>9</v>
      </c>
    </row>
    <row r="506" spans="1:7" x14ac:dyDescent="0.25">
      <c r="A506" s="11" t="s">
        <v>556</v>
      </c>
      <c r="B506" s="11" t="s">
        <v>557</v>
      </c>
      <c r="C506">
        <v>4.3</v>
      </c>
      <c r="D506">
        <v>5977</v>
      </c>
      <c r="E506">
        <v>12</v>
      </c>
      <c r="F506">
        <v>2011</v>
      </c>
      <c r="G506" s="11" t="s">
        <v>9</v>
      </c>
    </row>
    <row r="507" spans="1:7" x14ac:dyDescent="0.25">
      <c r="A507" s="11" t="s">
        <v>558</v>
      </c>
      <c r="B507" s="11" t="s">
        <v>183</v>
      </c>
      <c r="C507">
        <v>4.8</v>
      </c>
      <c r="D507">
        <v>26234</v>
      </c>
      <c r="E507">
        <v>0</v>
      </c>
      <c r="F507">
        <v>2013</v>
      </c>
      <c r="G507" s="11" t="s">
        <v>12</v>
      </c>
    </row>
    <row r="508" spans="1:7" x14ac:dyDescent="0.25">
      <c r="A508" s="11" t="s">
        <v>558</v>
      </c>
      <c r="B508" s="11" t="s">
        <v>183</v>
      </c>
      <c r="C508">
        <v>4.8</v>
      </c>
      <c r="D508">
        <v>26234</v>
      </c>
      <c r="E508">
        <v>0</v>
      </c>
      <c r="F508">
        <v>2014</v>
      </c>
      <c r="G508" s="11" t="s">
        <v>12</v>
      </c>
    </row>
    <row r="509" spans="1:7" x14ac:dyDescent="0.25">
      <c r="A509" s="11" t="s">
        <v>558</v>
      </c>
      <c r="B509" s="11" t="s">
        <v>183</v>
      </c>
      <c r="C509">
        <v>4.8</v>
      </c>
      <c r="D509">
        <v>26234</v>
      </c>
      <c r="E509">
        <v>0</v>
      </c>
      <c r="F509">
        <v>2015</v>
      </c>
      <c r="G509" s="11" t="s">
        <v>12</v>
      </c>
    </row>
    <row r="510" spans="1:7" x14ac:dyDescent="0.25">
      <c r="A510" s="11" t="s">
        <v>558</v>
      </c>
      <c r="B510" s="11" t="s">
        <v>183</v>
      </c>
      <c r="C510">
        <v>4.8</v>
      </c>
      <c r="D510">
        <v>26234</v>
      </c>
      <c r="E510">
        <v>0</v>
      </c>
      <c r="F510">
        <v>2016</v>
      </c>
      <c r="G510" s="11" t="s">
        <v>12</v>
      </c>
    </row>
    <row r="511" spans="1:7" x14ac:dyDescent="0.25">
      <c r="A511" s="11" t="s">
        <v>558</v>
      </c>
      <c r="B511" s="11" t="s">
        <v>183</v>
      </c>
      <c r="C511">
        <v>4.8</v>
      </c>
      <c r="D511">
        <v>26234</v>
      </c>
      <c r="E511">
        <v>7</v>
      </c>
      <c r="F511">
        <v>2019</v>
      </c>
      <c r="G511" s="11" t="s">
        <v>12</v>
      </c>
    </row>
    <row r="512" spans="1:7" x14ac:dyDescent="0.25">
      <c r="A512" s="11" t="s">
        <v>559</v>
      </c>
      <c r="B512" s="11" t="s">
        <v>382</v>
      </c>
      <c r="C512">
        <v>4.5999999999999996</v>
      </c>
      <c r="D512">
        <v>4360</v>
      </c>
      <c r="E512">
        <v>21</v>
      </c>
      <c r="F512">
        <v>2017</v>
      </c>
      <c r="G512" s="11" t="s">
        <v>9</v>
      </c>
    </row>
    <row r="513" spans="1:7" x14ac:dyDescent="0.25">
      <c r="A513" s="11" t="s">
        <v>560</v>
      </c>
      <c r="B513" s="11" t="s">
        <v>561</v>
      </c>
      <c r="C513">
        <v>4.8</v>
      </c>
      <c r="D513">
        <v>2282</v>
      </c>
      <c r="E513">
        <v>21</v>
      </c>
      <c r="F513">
        <v>2010</v>
      </c>
      <c r="G513" s="11" t="s">
        <v>12</v>
      </c>
    </row>
    <row r="514" spans="1:7" x14ac:dyDescent="0.25">
      <c r="A514" s="11" t="s">
        <v>562</v>
      </c>
      <c r="B514" s="11" t="s">
        <v>563</v>
      </c>
      <c r="C514">
        <v>4.5</v>
      </c>
      <c r="D514">
        <v>438</v>
      </c>
      <c r="E514">
        <v>15</v>
      </c>
      <c r="F514">
        <v>2009</v>
      </c>
      <c r="G514" s="11" t="s">
        <v>9</v>
      </c>
    </row>
    <row r="515" spans="1:7" x14ac:dyDescent="0.25">
      <c r="A515" s="11" t="s">
        <v>564</v>
      </c>
      <c r="B515" s="11" t="s">
        <v>74</v>
      </c>
      <c r="C515">
        <v>4.7</v>
      </c>
      <c r="D515">
        <v>11676</v>
      </c>
      <c r="E515">
        <v>9</v>
      </c>
      <c r="F515">
        <v>2009</v>
      </c>
      <c r="G515" s="11" t="s">
        <v>12</v>
      </c>
    </row>
    <row r="516" spans="1:7" x14ac:dyDescent="0.25">
      <c r="A516" s="11" t="s">
        <v>565</v>
      </c>
      <c r="B516" s="11" t="s">
        <v>59</v>
      </c>
      <c r="C516">
        <v>4.5</v>
      </c>
      <c r="D516">
        <v>2586</v>
      </c>
      <c r="E516">
        <v>5</v>
      </c>
      <c r="F516">
        <v>2014</v>
      </c>
      <c r="G516" s="11" t="s">
        <v>12</v>
      </c>
    </row>
    <row r="517" spans="1:7" x14ac:dyDescent="0.25">
      <c r="A517" s="11" t="s">
        <v>566</v>
      </c>
      <c r="B517" s="11" t="s">
        <v>567</v>
      </c>
      <c r="C517">
        <v>4.8</v>
      </c>
      <c r="D517">
        <v>29673</v>
      </c>
      <c r="E517">
        <v>16</v>
      </c>
      <c r="F517">
        <v>2010</v>
      </c>
      <c r="G517" s="11" t="s">
        <v>9</v>
      </c>
    </row>
    <row r="518" spans="1:7" x14ac:dyDescent="0.25">
      <c r="A518" s="11" t="s">
        <v>566</v>
      </c>
      <c r="B518" s="11" t="s">
        <v>567</v>
      </c>
      <c r="C518">
        <v>4.8</v>
      </c>
      <c r="D518">
        <v>29673</v>
      </c>
      <c r="E518">
        <v>16</v>
      </c>
      <c r="F518">
        <v>2011</v>
      </c>
      <c r="G518" s="11" t="s">
        <v>9</v>
      </c>
    </row>
    <row r="519" spans="1:7" x14ac:dyDescent="0.25">
      <c r="A519" s="11" t="s">
        <v>566</v>
      </c>
      <c r="B519" s="11" t="s">
        <v>567</v>
      </c>
      <c r="C519">
        <v>4.8</v>
      </c>
      <c r="D519">
        <v>29673</v>
      </c>
      <c r="E519">
        <v>16</v>
      </c>
      <c r="F519">
        <v>2012</v>
      </c>
      <c r="G519" s="11" t="s">
        <v>9</v>
      </c>
    </row>
    <row r="520" spans="1:7" x14ac:dyDescent="0.25">
      <c r="A520" s="11" t="s">
        <v>566</v>
      </c>
      <c r="B520" s="11" t="s">
        <v>567</v>
      </c>
      <c r="C520">
        <v>4.8</v>
      </c>
      <c r="D520">
        <v>29673</v>
      </c>
      <c r="E520">
        <v>13</v>
      </c>
      <c r="F520">
        <v>2014</v>
      </c>
      <c r="G520" s="11" t="s">
        <v>9</v>
      </c>
    </row>
    <row r="521" spans="1:7" x14ac:dyDescent="0.25">
      <c r="A521" s="11" t="s">
        <v>566</v>
      </c>
      <c r="B521" s="11" t="s">
        <v>567</v>
      </c>
      <c r="C521">
        <v>4.8</v>
      </c>
      <c r="D521">
        <v>29673</v>
      </c>
      <c r="E521">
        <v>16</v>
      </c>
      <c r="F521">
        <v>2014</v>
      </c>
      <c r="G521" s="11" t="s">
        <v>9</v>
      </c>
    </row>
    <row r="522" spans="1:7" x14ac:dyDescent="0.25">
      <c r="A522" s="11" t="s">
        <v>568</v>
      </c>
      <c r="B522" s="11" t="s">
        <v>11</v>
      </c>
      <c r="C522">
        <v>4.3</v>
      </c>
      <c r="D522">
        <v>6740</v>
      </c>
      <c r="E522">
        <v>20</v>
      </c>
      <c r="F522">
        <v>2009</v>
      </c>
      <c r="G522" s="11" t="s">
        <v>12</v>
      </c>
    </row>
    <row r="523" spans="1:7" x14ac:dyDescent="0.25">
      <c r="A523" s="11" t="s">
        <v>569</v>
      </c>
      <c r="B523" s="11" t="s">
        <v>278</v>
      </c>
      <c r="C523">
        <v>4.9000000000000004</v>
      </c>
      <c r="D523">
        <v>5956</v>
      </c>
      <c r="E523">
        <v>11</v>
      </c>
      <c r="F523">
        <v>2019</v>
      </c>
      <c r="G523" s="11" t="s">
        <v>9</v>
      </c>
    </row>
    <row r="524" spans="1:7" x14ac:dyDescent="0.25">
      <c r="A524" s="11" t="s">
        <v>570</v>
      </c>
      <c r="B524" s="11" t="s">
        <v>571</v>
      </c>
      <c r="C524">
        <v>4.8</v>
      </c>
      <c r="D524">
        <v>6108</v>
      </c>
      <c r="E524">
        <v>4</v>
      </c>
      <c r="F524">
        <v>2019</v>
      </c>
      <c r="G524" s="11" t="s">
        <v>9</v>
      </c>
    </row>
    <row r="525" spans="1:7" x14ac:dyDescent="0.25">
      <c r="A525" s="11" t="s">
        <v>572</v>
      </c>
      <c r="B525" s="11" t="s">
        <v>250</v>
      </c>
      <c r="C525">
        <v>4.7</v>
      </c>
      <c r="D525">
        <v>4585</v>
      </c>
      <c r="E525">
        <v>9</v>
      </c>
      <c r="F525">
        <v>2016</v>
      </c>
      <c r="G525" s="11" t="s">
        <v>9</v>
      </c>
    </row>
    <row r="526" spans="1:7" x14ac:dyDescent="0.25">
      <c r="A526" s="11" t="s">
        <v>573</v>
      </c>
      <c r="B526" s="11" t="s">
        <v>574</v>
      </c>
      <c r="C526">
        <v>4.8</v>
      </c>
      <c r="D526">
        <v>3829</v>
      </c>
      <c r="E526">
        <v>42</v>
      </c>
      <c r="F526">
        <v>2009</v>
      </c>
      <c r="G526" s="11" t="s">
        <v>12</v>
      </c>
    </row>
    <row r="527" spans="1:7" x14ac:dyDescent="0.25">
      <c r="A527" s="11" t="s">
        <v>575</v>
      </c>
      <c r="B527" s="11" t="s">
        <v>576</v>
      </c>
      <c r="C527">
        <v>4.5</v>
      </c>
      <c r="D527">
        <v>8958</v>
      </c>
      <c r="E527">
        <v>12</v>
      </c>
      <c r="F527">
        <v>2011</v>
      </c>
      <c r="G527" s="11" t="s">
        <v>12</v>
      </c>
    </row>
    <row r="528" spans="1:7" x14ac:dyDescent="0.25">
      <c r="A528" s="11" t="s">
        <v>577</v>
      </c>
      <c r="B528" s="11" t="s">
        <v>578</v>
      </c>
      <c r="C528">
        <v>4.5999999999999996</v>
      </c>
      <c r="D528">
        <v>5492</v>
      </c>
      <c r="E528">
        <v>18</v>
      </c>
      <c r="F528">
        <v>2017</v>
      </c>
      <c r="G528" s="11" t="s">
        <v>9</v>
      </c>
    </row>
    <row r="529" spans="1:7" x14ac:dyDescent="0.25">
      <c r="A529" s="11" t="s">
        <v>579</v>
      </c>
      <c r="B529" s="11" t="s">
        <v>580</v>
      </c>
      <c r="C529">
        <v>4.7</v>
      </c>
      <c r="D529">
        <v>9292</v>
      </c>
      <c r="E529">
        <v>17</v>
      </c>
      <c r="F529">
        <v>2014</v>
      </c>
      <c r="G529" s="11" t="s">
        <v>9</v>
      </c>
    </row>
    <row r="530" spans="1:7" x14ac:dyDescent="0.25">
      <c r="A530" s="11" t="s">
        <v>581</v>
      </c>
      <c r="B530" s="11" t="s">
        <v>318</v>
      </c>
      <c r="C530">
        <v>4.7</v>
      </c>
      <c r="D530">
        <v>1873</v>
      </c>
      <c r="E530">
        <v>14</v>
      </c>
      <c r="F530">
        <v>2015</v>
      </c>
      <c r="G530" s="11" t="s">
        <v>12</v>
      </c>
    </row>
    <row r="531" spans="1:7" x14ac:dyDescent="0.25">
      <c r="A531" s="11" t="s">
        <v>582</v>
      </c>
      <c r="B531" s="11" t="s">
        <v>583</v>
      </c>
      <c r="C531">
        <v>4.8</v>
      </c>
      <c r="D531">
        <v>8170</v>
      </c>
      <c r="E531">
        <v>13</v>
      </c>
      <c r="F531">
        <v>2019</v>
      </c>
      <c r="G531" s="11" t="s">
        <v>12</v>
      </c>
    </row>
    <row r="532" spans="1:7" x14ac:dyDescent="0.25">
      <c r="A532" s="11" t="s">
        <v>584</v>
      </c>
      <c r="B532" s="11" t="s">
        <v>585</v>
      </c>
      <c r="C532">
        <v>4.4000000000000004</v>
      </c>
      <c r="D532">
        <v>3341</v>
      </c>
      <c r="E532">
        <v>9</v>
      </c>
      <c r="F532">
        <v>2011</v>
      </c>
      <c r="G532" s="11" t="s">
        <v>9</v>
      </c>
    </row>
    <row r="533" spans="1:7" x14ac:dyDescent="0.25">
      <c r="A533" s="11" t="s">
        <v>586</v>
      </c>
      <c r="B533" s="11" t="s">
        <v>587</v>
      </c>
      <c r="C533">
        <v>4.4000000000000004</v>
      </c>
      <c r="D533">
        <v>7497</v>
      </c>
      <c r="E533">
        <v>6</v>
      </c>
      <c r="F533">
        <v>2012</v>
      </c>
      <c r="G533" s="11" t="s">
        <v>9</v>
      </c>
    </row>
    <row r="534" spans="1:7" x14ac:dyDescent="0.25">
      <c r="A534" s="11" t="s">
        <v>586</v>
      </c>
      <c r="B534" s="11" t="s">
        <v>587</v>
      </c>
      <c r="C534">
        <v>4.4000000000000004</v>
      </c>
      <c r="D534">
        <v>7497</v>
      </c>
      <c r="E534">
        <v>6</v>
      </c>
      <c r="F534">
        <v>2013</v>
      </c>
      <c r="G534" s="11" t="s">
        <v>9</v>
      </c>
    </row>
    <row r="535" spans="1:7" x14ac:dyDescent="0.25">
      <c r="A535" s="11" t="s">
        <v>588</v>
      </c>
      <c r="B535" s="11" t="s">
        <v>589</v>
      </c>
      <c r="C535">
        <v>4.8</v>
      </c>
      <c r="D535">
        <v>13779</v>
      </c>
      <c r="E535">
        <v>14</v>
      </c>
      <c r="F535">
        <v>2016</v>
      </c>
      <c r="G535" s="11" t="s">
        <v>9</v>
      </c>
    </row>
    <row r="536" spans="1:7" x14ac:dyDescent="0.25">
      <c r="A536" s="11" t="s">
        <v>590</v>
      </c>
      <c r="B536" s="11" t="s">
        <v>591</v>
      </c>
      <c r="C536">
        <v>4.8</v>
      </c>
      <c r="D536">
        <v>87841</v>
      </c>
      <c r="E536">
        <v>15</v>
      </c>
      <c r="F536">
        <v>2019</v>
      </c>
      <c r="G536" s="11" t="s">
        <v>12</v>
      </c>
    </row>
    <row r="537" spans="1:7" x14ac:dyDescent="0.25">
      <c r="A537" s="11" t="s">
        <v>592</v>
      </c>
      <c r="B537" s="11" t="s">
        <v>593</v>
      </c>
      <c r="C537">
        <v>4.8</v>
      </c>
      <c r="D537">
        <v>9967</v>
      </c>
      <c r="E537">
        <v>13</v>
      </c>
      <c r="F537">
        <v>2009</v>
      </c>
      <c r="G537" s="11" t="s">
        <v>12</v>
      </c>
    </row>
    <row r="538" spans="1:7" x14ac:dyDescent="0.25">
      <c r="A538" s="11" t="s">
        <v>594</v>
      </c>
      <c r="B538" s="11" t="s">
        <v>595</v>
      </c>
      <c r="C538">
        <v>4.5999999999999996</v>
      </c>
      <c r="D538">
        <v>6669</v>
      </c>
      <c r="E538">
        <v>12</v>
      </c>
      <c r="F538">
        <v>2018</v>
      </c>
      <c r="G538" s="11" t="s">
        <v>9</v>
      </c>
    </row>
    <row r="539" spans="1:7" x14ac:dyDescent="0.25">
      <c r="A539" s="11" t="s">
        <v>596</v>
      </c>
      <c r="B539" s="11" t="s">
        <v>597</v>
      </c>
      <c r="C539">
        <v>4.4000000000000004</v>
      </c>
      <c r="D539">
        <v>17044</v>
      </c>
      <c r="E539">
        <v>18</v>
      </c>
      <c r="F539">
        <v>2012</v>
      </c>
      <c r="G539" s="11" t="s">
        <v>9</v>
      </c>
    </row>
    <row r="540" spans="1:7" x14ac:dyDescent="0.25">
      <c r="A540" s="11" t="s">
        <v>598</v>
      </c>
      <c r="B540" s="11" t="s">
        <v>599</v>
      </c>
      <c r="C540">
        <v>4.5</v>
      </c>
      <c r="D540">
        <v>10760</v>
      </c>
      <c r="E540">
        <v>15</v>
      </c>
      <c r="F540">
        <v>2012</v>
      </c>
      <c r="G540" s="11" t="s">
        <v>12</v>
      </c>
    </row>
    <row r="541" spans="1:7" x14ac:dyDescent="0.25">
      <c r="A541" s="11" t="s">
        <v>600</v>
      </c>
      <c r="B541" s="11" t="s">
        <v>601</v>
      </c>
      <c r="C541">
        <v>4.2</v>
      </c>
      <c r="D541">
        <v>1302</v>
      </c>
      <c r="E541">
        <v>11</v>
      </c>
      <c r="F541">
        <v>2010</v>
      </c>
      <c r="G541" s="11" t="s">
        <v>9</v>
      </c>
    </row>
    <row r="542" spans="1:7" x14ac:dyDescent="0.25">
      <c r="A542" s="11" t="s">
        <v>602</v>
      </c>
      <c r="B542" s="11" t="s">
        <v>603</v>
      </c>
      <c r="C542">
        <v>4.8</v>
      </c>
      <c r="D542">
        <v>21625</v>
      </c>
      <c r="E542">
        <v>9</v>
      </c>
      <c r="F542">
        <v>2013</v>
      </c>
      <c r="G542" s="11" t="s">
        <v>12</v>
      </c>
    </row>
    <row r="543" spans="1:7" x14ac:dyDescent="0.25">
      <c r="A543" s="11" t="s">
        <v>602</v>
      </c>
      <c r="B543" s="11" t="s">
        <v>603</v>
      </c>
      <c r="C543">
        <v>4.8</v>
      </c>
      <c r="D543">
        <v>21625</v>
      </c>
      <c r="E543">
        <v>9</v>
      </c>
      <c r="F543">
        <v>2014</v>
      </c>
      <c r="G543" s="11" t="s">
        <v>12</v>
      </c>
    </row>
    <row r="544" spans="1:7" x14ac:dyDescent="0.25">
      <c r="A544" s="11" t="s">
        <v>602</v>
      </c>
      <c r="B544" s="11" t="s">
        <v>603</v>
      </c>
      <c r="C544">
        <v>4.8</v>
      </c>
      <c r="D544">
        <v>21625</v>
      </c>
      <c r="E544">
        <v>9</v>
      </c>
      <c r="F544">
        <v>2015</v>
      </c>
      <c r="G544" s="11" t="s">
        <v>12</v>
      </c>
    </row>
    <row r="545" spans="1:7" x14ac:dyDescent="0.25">
      <c r="A545" s="11" t="s">
        <v>602</v>
      </c>
      <c r="B545" s="11" t="s">
        <v>603</v>
      </c>
      <c r="C545">
        <v>4.8</v>
      </c>
      <c r="D545">
        <v>21625</v>
      </c>
      <c r="E545">
        <v>9</v>
      </c>
      <c r="F545">
        <v>2016</v>
      </c>
      <c r="G545" s="11" t="s">
        <v>12</v>
      </c>
    </row>
    <row r="546" spans="1:7" x14ac:dyDescent="0.25">
      <c r="A546" s="11" t="s">
        <v>602</v>
      </c>
      <c r="B546" s="11" t="s">
        <v>603</v>
      </c>
      <c r="C546">
        <v>4.8</v>
      </c>
      <c r="D546">
        <v>21625</v>
      </c>
      <c r="E546">
        <v>9</v>
      </c>
      <c r="F546">
        <v>2017</v>
      </c>
      <c r="G546" s="11" t="s">
        <v>12</v>
      </c>
    </row>
    <row r="547" spans="1:7" x14ac:dyDescent="0.25">
      <c r="A547" s="11" t="s">
        <v>604</v>
      </c>
      <c r="B547" s="11" t="s">
        <v>79</v>
      </c>
      <c r="C547">
        <v>4.9000000000000004</v>
      </c>
      <c r="D547">
        <v>9413</v>
      </c>
      <c r="E547">
        <v>8</v>
      </c>
      <c r="F547">
        <v>2019</v>
      </c>
      <c r="G547" s="11" t="s">
        <v>12</v>
      </c>
    </row>
    <row r="548" spans="1:7" x14ac:dyDescent="0.25">
      <c r="A548" s="11" t="s">
        <v>605</v>
      </c>
      <c r="B548" s="11" t="s">
        <v>606</v>
      </c>
      <c r="C548">
        <v>4.7</v>
      </c>
      <c r="D548">
        <v>14331</v>
      </c>
      <c r="E548">
        <v>8</v>
      </c>
      <c r="F548">
        <v>2016</v>
      </c>
      <c r="G548" s="11" t="s">
        <v>9</v>
      </c>
    </row>
    <row r="549" spans="1:7" x14ac:dyDescent="0.25">
      <c r="A549" s="11" t="s">
        <v>605</v>
      </c>
      <c r="B549" s="11" t="s">
        <v>606</v>
      </c>
      <c r="C549">
        <v>4.7</v>
      </c>
      <c r="D549">
        <v>14331</v>
      </c>
      <c r="E549">
        <v>8</v>
      </c>
      <c r="F549">
        <v>2017</v>
      </c>
      <c r="G549" s="11" t="s">
        <v>9</v>
      </c>
    </row>
    <row r="550" spans="1:7" x14ac:dyDescent="0.25">
      <c r="A550" s="11" t="s">
        <v>605</v>
      </c>
      <c r="B550" s="11" t="s">
        <v>606</v>
      </c>
      <c r="C550">
        <v>4.7</v>
      </c>
      <c r="D550">
        <v>14331</v>
      </c>
      <c r="E550">
        <v>8</v>
      </c>
      <c r="F550">
        <v>2018</v>
      </c>
      <c r="G550" s="11" t="s">
        <v>9</v>
      </c>
    </row>
    <row r="551" spans="1:7" x14ac:dyDescent="0.25">
      <c r="A551" s="11" t="s">
        <v>605</v>
      </c>
      <c r="B551" s="11" t="s">
        <v>606</v>
      </c>
      <c r="C551">
        <v>4.7</v>
      </c>
      <c r="D551">
        <v>14331</v>
      </c>
      <c r="E551">
        <v>8</v>
      </c>
      <c r="F551">
        <v>2019</v>
      </c>
      <c r="G551" s="11" t="s">
        <v>9</v>
      </c>
    </row>
    <row r="552" spans="1:7" x14ac:dyDescent="0.25">
      <c r="A552" s="11" t="s">
        <v>607</v>
      </c>
      <c r="B552" s="11" t="s">
        <v>608</v>
      </c>
      <c r="C552">
        <v>4.9000000000000004</v>
      </c>
      <c r="D552">
        <v>83212</v>
      </c>
      <c r="E552">
        <v>23</v>
      </c>
      <c r="F552">
        <v>2020</v>
      </c>
      <c r="G552" s="11" t="s">
        <v>9</v>
      </c>
    </row>
    <row r="553" spans="1:7" x14ac:dyDescent="0.25">
      <c r="A553" s="11" t="s">
        <v>609</v>
      </c>
      <c r="B553" s="11" t="s">
        <v>610</v>
      </c>
      <c r="C553">
        <v>4.5999999999999996</v>
      </c>
      <c r="D553">
        <v>94196</v>
      </c>
      <c r="E553">
        <v>17</v>
      </c>
      <c r="F553">
        <v>2020</v>
      </c>
      <c r="G553" s="11" t="s">
        <v>9</v>
      </c>
    </row>
    <row r="554" spans="1:7" x14ac:dyDescent="0.25">
      <c r="A554" s="11" t="s">
        <v>590</v>
      </c>
      <c r="B554" s="11" t="s">
        <v>591</v>
      </c>
      <c r="C554">
        <v>4.8</v>
      </c>
      <c r="D554">
        <v>120727</v>
      </c>
      <c r="E554">
        <v>9</v>
      </c>
      <c r="F554">
        <v>2020</v>
      </c>
      <c r="G554" s="11" t="s">
        <v>12</v>
      </c>
    </row>
    <row r="555" spans="1:7" x14ac:dyDescent="0.25">
      <c r="A555" s="11" t="s">
        <v>611</v>
      </c>
      <c r="B555" s="11" t="s">
        <v>612</v>
      </c>
      <c r="C555">
        <v>4.8</v>
      </c>
      <c r="D555">
        <v>45694</v>
      </c>
      <c r="E555">
        <v>15</v>
      </c>
      <c r="F555">
        <v>2020</v>
      </c>
      <c r="G555" s="11" t="s">
        <v>9</v>
      </c>
    </row>
    <row r="556" spans="1:7" x14ac:dyDescent="0.25">
      <c r="A556" s="11" t="s">
        <v>613</v>
      </c>
      <c r="B556" s="11" t="s">
        <v>74</v>
      </c>
      <c r="C556">
        <v>4.8</v>
      </c>
      <c r="D556">
        <v>64215</v>
      </c>
      <c r="E556">
        <v>13</v>
      </c>
      <c r="F556">
        <v>2020</v>
      </c>
      <c r="G556" s="11" t="s">
        <v>12</v>
      </c>
    </row>
    <row r="557" spans="1:7" x14ac:dyDescent="0.25">
      <c r="A557" s="11" t="s">
        <v>614</v>
      </c>
      <c r="B557" s="11" t="s">
        <v>615</v>
      </c>
      <c r="C557">
        <v>4.8</v>
      </c>
      <c r="D557">
        <v>41567</v>
      </c>
      <c r="E557">
        <v>15</v>
      </c>
      <c r="F557">
        <v>2020</v>
      </c>
      <c r="G557" s="11" t="s">
        <v>9</v>
      </c>
    </row>
    <row r="558" spans="1:7" x14ac:dyDescent="0.25">
      <c r="A558" s="11" t="s">
        <v>237</v>
      </c>
      <c r="B558" s="11" t="s">
        <v>238</v>
      </c>
      <c r="C558">
        <v>4.5</v>
      </c>
      <c r="D558">
        <v>39063</v>
      </c>
      <c r="E558">
        <v>4</v>
      </c>
      <c r="F558">
        <v>2020</v>
      </c>
      <c r="G558" s="11" t="s">
        <v>12</v>
      </c>
    </row>
    <row r="559" spans="1:7" x14ac:dyDescent="0.25">
      <c r="A559" s="11" t="s">
        <v>616</v>
      </c>
      <c r="B559" s="11" t="s">
        <v>617</v>
      </c>
      <c r="C559">
        <v>4.3</v>
      </c>
      <c r="D559">
        <v>31125</v>
      </c>
      <c r="E559">
        <v>10</v>
      </c>
      <c r="F559">
        <v>2020</v>
      </c>
      <c r="G559" s="11" t="s">
        <v>9</v>
      </c>
    </row>
    <row r="560" spans="1:7" x14ac:dyDescent="0.25">
      <c r="A560" s="11" t="s">
        <v>618</v>
      </c>
      <c r="B560" s="11" t="s">
        <v>619</v>
      </c>
      <c r="C560">
        <v>4.3</v>
      </c>
      <c r="D560">
        <v>44608</v>
      </c>
      <c r="E560">
        <v>12</v>
      </c>
      <c r="F560">
        <v>2020</v>
      </c>
      <c r="G560" s="11" t="s">
        <v>9</v>
      </c>
    </row>
    <row r="561" spans="1:7" x14ac:dyDescent="0.25">
      <c r="A561" s="11" t="s">
        <v>356</v>
      </c>
      <c r="B561" s="11" t="s">
        <v>356</v>
      </c>
      <c r="C561">
        <v>4.8</v>
      </c>
      <c r="D561">
        <v>45485</v>
      </c>
      <c r="E561">
        <v>8</v>
      </c>
      <c r="F561">
        <v>2020</v>
      </c>
      <c r="G561" s="11" t="s">
        <v>12</v>
      </c>
    </row>
    <row r="562" spans="1:7" x14ac:dyDescent="0.25">
      <c r="A562" s="11" t="s">
        <v>620</v>
      </c>
      <c r="B562" s="11" t="s">
        <v>87</v>
      </c>
      <c r="C562">
        <v>4.7</v>
      </c>
      <c r="D562">
        <v>37173</v>
      </c>
      <c r="E562">
        <v>14</v>
      </c>
      <c r="F562">
        <v>2020</v>
      </c>
      <c r="G562" s="11" t="s">
        <v>12</v>
      </c>
    </row>
    <row r="563" spans="1:7" x14ac:dyDescent="0.25">
      <c r="A563" s="11" t="s">
        <v>621</v>
      </c>
      <c r="B563" s="11" t="s">
        <v>127</v>
      </c>
      <c r="C563">
        <v>4.9000000000000004</v>
      </c>
      <c r="D563">
        <v>31045</v>
      </c>
      <c r="E563">
        <v>6</v>
      </c>
      <c r="F563">
        <v>2020</v>
      </c>
      <c r="G563" s="11" t="s">
        <v>12</v>
      </c>
    </row>
    <row r="564" spans="1:7" x14ac:dyDescent="0.25">
      <c r="A564" s="11" t="s">
        <v>534</v>
      </c>
      <c r="B564" s="11" t="s">
        <v>535</v>
      </c>
      <c r="C564">
        <v>4.9000000000000004</v>
      </c>
      <c r="D564">
        <v>35965</v>
      </c>
      <c r="E564">
        <v>7</v>
      </c>
      <c r="F564">
        <v>2020</v>
      </c>
      <c r="G564" s="11" t="s">
        <v>9</v>
      </c>
    </row>
    <row r="565" spans="1:7" x14ac:dyDescent="0.25">
      <c r="A565" s="11" t="s">
        <v>622</v>
      </c>
      <c r="B565" s="11" t="s">
        <v>66</v>
      </c>
      <c r="C565">
        <v>4.8</v>
      </c>
      <c r="D565">
        <v>99498</v>
      </c>
      <c r="E565">
        <v>10</v>
      </c>
      <c r="F565">
        <v>2020</v>
      </c>
      <c r="G565" s="11" t="s">
        <v>9</v>
      </c>
    </row>
    <row r="566" spans="1:7" x14ac:dyDescent="0.25">
      <c r="A566" s="11" t="s">
        <v>623</v>
      </c>
      <c r="B566" s="11" t="s">
        <v>624</v>
      </c>
      <c r="C566">
        <v>4.8</v>
      </c>
      <c r="D566">
        <v>19555</v>
      </c>
      <c r="E566">
        <v>13</v>
      </c>
      <c r="F566">
        <v>2020</v>
      </c>
      <c r="G566" s="11" t="s">
        <v>9</v>
      </c>
    </row>
    <row r="567" spans="1:7" x14ac:dyDescent="0.25">
      <c r="A567" s="11" t="s">
        <v>625</v>
      </c>
      <c r="B567" s="11" t="s">
        <v>626</v>
      </c>
      <c r="C567">
        <v>4.7</v>
      </c>
      <c r="D567">
        <v>45368</v>
      </c>
      <c r="E567">
        <v>6</v>
      </c>
      <c r="F567">
        <v>2020</v>
      </c>
      <c r="G567" s="11" t="s">
        <v>9</v>
      </c>
    </row>
    <row r="568" spans="1:7" x14ac:dyDescent="0.25">
      <c r="A568" s="11" t="s">
        <v>627</v>
      </c>
      <c r="B568" s="11" t="s">
        <v>154</v>
      </c>
      <c r="C568">
        <v>4.7</v>
      </c>
      <c r="D568">
        <v>27788</v>
      </c>
      <c r="E568">
        <v>15</v>
      </c>
      <c r="F568">
        <v>2020</v>
      </c>
      <c r="G568" s="11" t="s">
        <v>9</v>
      </c>
    </row>
    <row r="569" spans="1:7" x14ac:dyDescent="0.25">
      <c r="A569" s="11" t="s">
        <v>628</v>
      </c>
      <c r="B569" s="11" t="s">
        <v>629</v>
      </c>
      <c r="C569">
        <v>4.8</v>
      </c>
      <c r="D569">
        <v>21967</v>
      </c>
      <c r="E569">
        <v>19</v>
      </c>
      <c r="F569">
        <v>2020</v>
      </c>
      <c r="G569" s="11" t="s">
        <v>9</v>
      </c>
    </row>
    <row r="570" spans="1:7" x14ac:dyDescent="0.25">
      <c r="A570" s="11" t="s">
        <v>630</v>
      </c>
      <c r="B570" s="11" t="s">
        <v>631</v>
      </c>
      <c r="C570">
        <v>4.7</v>
      </c>
      <c r="D570">
        <v>26740</v>
      </c>
      <c r="E570">
        <v>18</v>
      </c>
      <c r="F570">
        <v>2020</v>
      </c>
      <c r="G570" s="11" t="s">
        <v>9</v>
      </c>
    </row>
    <row r="571" spans="1:7" x14ac:dyDescent="0.25">
      <c r="A571" s="11" t="s">
        <v>233</v>
      </c>
      <c r="B571" s="11" t="s">
        <v>234</v>
      </c>
      <c r="C571">
        <v>4.8</v>
      </c>
      <c r="D571">
        <v>20485</v>
      </c>
      <c r="E571">
        <v>9</v>
      </c>
      <c r="F571">
        <v>2020</v>
      </c>
      <c r="G571" s="11" t="s">
        <v>9</v>
      </c>
    </row>
    <row r="572" spans="1:7" x14ac:dyDescent="0.25">
      <c r="A572" s="11" t="s">
        <v>632</v>
      </c>
      <c r="B572" s="11" t="s">
        <v>633</v>
      </c>
      <c r="C572">
        <v>4.5999999999999996</v>
      </c>
      <c r="D572">
        <v>41716</v>
      </c>
      <c r="E572">
        <v>17</v>
      </c>
      <c r="F572">
        <v>2020</v>
      </c>
      <c r="G572" s="11" t="s">
        <v>12</v>
      </c>
    </row>
    <row r="573" spans="1:7" x14ac:dyDescent="0.25">
      <c r="A573" s="11" t="s">
        <v>634</v>
      </c>
      <c r="B573" s="11" t="s">
        <v>635</v>
      </c>
      <c r="C573">
        <v>4.9000000000000004</v>
      </c>
      <c r="D573">
        <v>53549</v>
      </c>
      <c r="E573">
        <v>15</v>
      </c>
      <c r="F573">
        <v>2020</v>
      </c>
      <c r="G573" s="11" t="s">
        <v>9</v>
      </c>
    </row>
    <row r="574" spans="1:7" x14ac:dyDescent="0.25">
      <c r="A574" s="11" t="s">
        <v>285</v>
      </c>
      <c r="B574" s="11" t="s">
        <v>286</v>
      </c>
      <c r="C574">
        <v>4.5</v>
      </c>
      <c r="D574">
        <v>43514</v>
      </c>
      <c r="E574">
        <v>10</v>
      </c>
      <c r="F574">
        <v>2020</v>
      </c>
      <c r="G574" s="11" t="s">
        <v>12</v>
      </c>
    </row>
    <row r="575" spans="1:7" x14ac:dyDescent="0.25">
      <c r="A575" s="11" t="s">
        <v>636</v>
      </c>
      <c r="B575" s="11" t="s">
        <v>79</v>
      </c>
      <c r="C575">
        <v>4.9000000000000004</v>
      </c>
      <c r="D575">
        <v>26047</v>
      </c>
      <c r="E575">
        <v>7</v>
      </c>
      <c r="F575">
        <v>2020</v>
      </c>
      <c r="G575" s="11" t="s">
        <v>12</v>
      </c>
    </row>
    <row r="576" spans="1:7" x14ac:dyDescent="0.25">
      <c r="A576" s="11" t="s">
        <v>637</v>
      </c>
      <c r="B576" s="11" t="s">
        <v>638</v>
      </c>
      <c r="C576">
        <v>4.8</v>
      </c>
      <c r="D576">
        <v>29634</v>
      </c>
      <c r="E576">
        <v>12</v>
      </c>
      <c r="F576">
        <v>2020</v>
      </c>
      <c r="G576" s="11" t="s">
        <v>9</v>
      </c>
    </row>
    <row r="577" spans="1:7" x14ac:dyDescent="0.25">
      <c r="A577" s="11" t="s">
        <v>639</v>
      </c>
      <c r="B577" s="11" t="s">
        <v>640</v>
      </c>
      <c r="C577">
        <v>4.9000000000000004</v>
      </c>
      <c r="D577">
        <v>24356</v>
      </c>
      <c r="E577">
        <v>1</v>
      </c>
      <c r="F577">
        <v>2020</v>
      </c>
      <c r="G577" s="11" t="s">
        <v>12</v>
      </c>
    </row>
    <row r="578" spans="1:7" x14ac:dyDescent="0.25">
      <c r="A578" s="11" t="s">
        <v>641</v>
      </c>
      <c r="B578" s="11" t="s">
        <v>642</v>
      </c>
      <c r="C578">
        <v>4.8</v>
      </c>
      <c r="D578">
        <v>17538</v>
      </c>
      <c r="E578">
        <v>6</v>
      </c>
      <c r="F578">
        <v>2020</v>
      </c>
      <c r="G578" s="11" t="s">
        <v>12</v>
      </c>
    </row>
    <row r="579" spans="1:7" x14ac:dyDescent="0.25">
      <c r="A579" s="11" t="s">
        <v>643</v>
      </c>
      <c r="B579" s="11" t="s">
        <v>644</v>
      </c>
      <c r="C579">
        <v>4.7</v>
      </c>
      <c r="D579">
        <v>15424</v>
      </c>
      <c r="E579">
        <v>19</v>
      </c>
      <c r="F579">
        <v>2020</v>
      </c>
      <c r="G579" s="11" t="s">
        <v>9</v>
      </c>
    </row>
    <row r="580" spans="1:7" x14ac:dyDescent="0.25">
      <c r="A580" s="11" t="s">
        <v>645</v>
      </c>
      <c r="B580" s="11" t="s">
        <v>642</v>
      </c>
      <c r="C580">
        <v>4.8</v>
      </c>
      <c r="D580">
        <v>19988</v>
      </c>
      <c r="E580">
        <v>5</v>
      </c>
      <c r="F580">
        <v>2020</v>
      </c>
      <c r="G580" s="11" t="s">
        <v>12</v>
      </c>
    </row>
    <row r="581" spans="1:7" x14ac:dyDescent="0.25">
      <c r="A581" s="11" t="s">
        <v>176</v>
      </c>
      <c r="B581" s="11" t="s">
        <v>177</v>
      </c>
      <c r="C581">
        <v>4.8</v>
      </c>
      <c r="D581">
        <v>23356</v>
      </c>
      <c r="E581">
        <v>6</v>
      </c>
      <c r="F581">
        <v>2020</v>
      </c>
      <c r="G581" s="11" t="s">
        <v>12</v>
      </c>
    </row>
    <row r="582" spans="1:7" x14ac:dyDescent="0.25">
      <c r="A582" s="11" t="s">
        <v>76</v>
      </c>
      <c r="B582" s="11" t="s">
        <v>646</v>
      </c>
      <c r="C582">
        <v>4.9000000000000004</v>
      </c>
      <c r="D582">
        <v>25321</v>
      </c>
      <c r="E582">
        <v>5</v>
      </c>
      <c r="F582">
        <v>2020</v>
      </c>
      <c r="G582" s="11" t="s">
        <v>12</v>
      </c>
    </row>
    <row r="583" spans="1:7" x14ac:dyDescent="0.25">
      <c r="A583" s="11" t="s">
        <v>385</v>
      </c>
      <c r="B583" s="11" t="s">
        <v>384</v>
      </c>
      <c r="C583">
        <v>4.8</v>
      </c>
      <c r="D583">
        <v>44174</v>
      </c>
      <c r="E583">
        <v>8</v>
      </c>
      <c r="F583">
        <v>2020</v>
      </c>
      <c r="G583" s="11" t="s">
        <v>9</v>
      </c>
    </row>
    <row r="584" spans="1:7" x14ac:dyDescent="0.25">
      <c r="A584" s="11" t="s">
        <v>647</v>
      </c>
      <c r="B584" s="11" t="s">
        <v>223</v>
      </c>
      <c r="C584">
        <v>4.9000000000000004</v>
      </c>
      <c r="D584">
        <v>16515</v>
      </c>
      <c r="E584">
        <v>17</v>
      </c>
      <c r="F584">
        <v>2020</v>
      </c>
      <c r="G584" s="11" t="s">
        <v>9</v>
      </c>
    </row>
    <row r="585" spans="1:7" x14ac:dyDescent="0.25">
      <c r="A585" s="11" t="s">
        <v>648</v>
      </c>
      <c r="B585" s="11" t="s">
        <v>649</v>
      </c>
      <c r="C585">
        <v>4.4000000000000004</v>
      </c>
      <c r="D585">
        <v>42235</v>
      </c>
      <c r="E585">
        <v>16</v>
      </c>
      <c r="F585">
        <v>2020</v>
      </c>
      <c r="G585" s="11" t="s">
        <v>12</v>
      </c>
    </row>
    <row r="586" spans="1:7" x14ac:dyDescent="0.25">
      <c r="A586" s="11" t="s">
        <v>650</v>
      </c>
      <c r="B586" s="11" t="s">
        <v>63</v>
      </c>
      <c r="C586">
        <v>4.8</v>
      </c>
      <c r="D586">
        <v>11769</v>
      </c>
      <c r="E586">
        <v>21</v>
      </c>
      <c r="F586">
        <v>2020</v>
      </c>
      <c r="G586" s="11" t="s">
        <v>9</v>
      </c>
    </row>
    <row r="587" spans="1:7" x14ac:dyDescent="0.25">
      <c r="A587" s="11" t="s">
        <v>651</v>
      </c>
      <c r="B587" s="11" t="s">
        <v>652</v>
      </c>
      <c r="C587">
        <v>4.8</v>
      </c>
      <c r="D587">
        <v>26462</v>
      </c>
      <c r="E587">
        <v>10</v>
      </c>
      <c r="F587">
        <v>2020</v>
      </c>
      <c r="G587" s="11" t="s">
        <v>9</v>
      </c>
    </row>
    <row r="588" spans="1:7" x14ac:dyDescent="0.25">
      <c r="A588" s="11" t="s">
        <v>540</v>
      </c>
      <c r="B588" s="11" t="s">
        <v>541</v>
      </c>
      <c r="C588">
        <v>4.8</v>
      </c>
      <c r="D588">
        <v>51255</v>
      </c>
      <c r="E588">
        <v>5</v>
      </c>
      <c r="F588">
        <v>2020</v>
      </c>
      <c r="G588" s="11" t="s">
        <v>12</v>
      </c>
    </row>
    <row r="589" spans="1:7" x14ac:dyDescent="0.25">
      <c r="A589" s="11" t="s">
        <v>401</v>
      </c>
      <c r="B589" s="11" t="s">
        <v>402</v>
      </c>
      <c r="C589">
        <v>4.8</v>
      </c>
      <c r="D589">
        <v>24327</v>
      </c>
      <c r="E589">
        <v>8</v>
      </c>
      <c r="F589">
        <v>2020</v>
      </c>
      <c r="G589" s="11" t="s">
        <v>9</v>
      </c>
    </row>
    <row r="590" spans="1:7" x14ac:dyDescent="0.25">
      <c r="A590" s="11" t="s">
        <v>653</v>
      </c>
      <c r="B590" s="11" t="s">
        <v>654</v>
      </c>
      <c r="C590">
        <v>4.8</v>
      </c>
      <c r="D590">
        <v>12852</v>
      </c>
      <c r="E590">
        <v>6</v>
      </c>
      <c r="F590">
        <v>2020</v>
      </c>
      <c r="G590" s="11" t="s">
        <v>12</v>
      </c>
    </row>
    <row r="591" spans="1:7" x14ac:dyDescent="0.25">
      <c r="A591" s="11" t="s">
        <v>655</v>
      </c>
      <c r="B591" s="11" t="s">
        <v>654</v>
      </c>
      <c r="C591">
        <v>4.8</v>
      </c>
      <c r="D591">
        <v>12643</v>
      </c>
      <c r="E591">
        <v>9</v>
      </c>
      <c r="F591">
        <v>2020</v>
      </c>
      <c r="G591" s="11" t="s">
        <v>12</v>
      </c>
    </row>
    <row r="592" spans="1:7" x14ac:dyDescent="0.25">
      <c r="A592" s="11" t="s">
        <v>656</v>
      </c>
      <c r="B592" s="11" t="s">
        <v>583</v>
      </c>
      <c r="C592">
        <v>4.8</v>
      </c>
      <c r="D592">
        <v>14705</v>
      </c>
      <c r="E592">
        <v>13</v>
      </c>
      <c r="F592">
        <v>2020</v>
      </c>
      <c r="G592" s="11" t="s">
        <v>12</v>
      </c>
    </row>
    <row r="593" spans="1:7" x14ac:dyDescent="0.25">
      <c r="A593" s="11" t="s">
        <v>657</v>
      </c>
      <c r="B593" s="11" t="s">
        <v>658</v>
      </c>
      <c r="C593">
        <v>4</v>
      </c>
      <c r="D593">
        <v>25510</v>
      </c>
      <c r="E593">
        <v>7</v>
      </c>
      <c r="F593">
        <v>2020</v>
      </c>
      <c r="G593" s="11" t="s">
        <v>12</v>
      </c>
    </row>
    <row r="594" spans="1:7" x14ac:dyDescent="0.25">
      <c r="A594" s="11" t="s">
        <v>659</v>
      </c>
      <c r="B594" s="11" t="s">
        <v>518</v>
      </c>
      <c r="C594">
        <v>4.5</v>
      </c>
      <c r="D594">
        <v>61060</v>
      </c>
      <c r="E594">
        <v>15</v>
      </c>
      <c r="F594">
        <v>2020</v>
      </c>
      <c r="G594" s="11" t="s">
        <v>12</v>
      </c>
    </row>
    <row r="595" spans="1:7" x14ac:dyDescent="0.25">
      <c r="A595" s="11" t="s">
        <v>660</v>
      </c>
      <c r="B595" s="11" t="s">
        <v>661</v>
      </c>
      <c r="C595">
        <v>4.7</v>
      </c>
      <c r="D595">
        <v>11668</v>
      </c>
      <c r="E595">
        <v>9</v>
      </c>
      <c r="F595">
        <v>2020</v>
      </c>
      <c r="G595" s="11" t="s">
        <v>12</v>
      </c>
    </row>
    <row r="596" spans="1:7" x14ac:dyDescent="0.25">
      <c r="A596" s="11" t="s">
        <v>662</v>
      </c>
      <c r="B596" s="11" t="s">
        <v>77</v>
      </c>
      <c r="C596">
        <v>4.9000000000000004</v>
      </c>
      <c r="D596">
        <v>20705</v>
      </c>
      <c r="E596">
        <v>4</v>
      </c>
      <c r="F596">
        <v>2020</v>
      </c>
      <c r="G596" s="11" t="s">
        <v>12</v>
      </c>
    </row>
    <row r="597" spans="1:7" x14ac:dyDescent="0.25">
      <c r="A597" s="11" t="s">
        <v>663</v>
      </c>
      <c r="B597" s="11" t="s">
        <v>664</v>
      </c>
      <c r="C597">
        <v>4.8</v>
      </c>
      <c r="D597">
        <v>20153</v>
      </c>
      <c r="E597">
        <v>15</v>
      </c>
      <c r="F597">
        <v>2020</v>
      </c>
      <c r="G597" s="11" t="s">
        <v>9</v>
      </c>
    </row>
    <row r="598" spans="1:7" x14ac:dyDescent="0.25">
      <c r="A598" s="11" t="s">
        <v>665</v>
      </c>
      <c r="B598" s="11" t="s">
        <v>666</v>
      </c>
      <c r="C598">
        <v>4.5999999999999996</v>
      </c>
      <c r="D598">
        <v>26423</v>
      </c>
      <c r="E598">
        <v>8</v>
      </c>
      <c r="F598">
        <v>2020</v>
      </c>
      <c r="G598" s="11" t="s">
        <v>9</v>
      </c>
    </row>
    <row r="599" spans="1:7" x14ac:dyDescent="0.25">
      <c r="A599" s="11" t="s">
        <v>667</v>
      </c>
      <c r="B599" s="11" t="s">
        <v>668</v>
      </c>
      <c r="C599">
        <v>4.7</v>
      </c>
      <c r="D599">
        <v>12879</v>
      </c>
      <c r="E599">
        <v>14</v>
      </c>
      <c r="F599">
        <v>2020</v>
      </c>
      <c r="G599" s="11" t="s">
        <v>9</v>
      </c>
    </row>
    <row r="600" spans="1:7" x14ac:dyDescent="0.25">
      <c r="A600" s="11" t="s">
        <v>669</v>
      </c>
      <c r="B600" s="11" t="s">
        <v>670</v>
      </c>
      <c r="C600">
        <v>4.7</v>
      </c>
      <c r="D600">
        <v>14128</v>
      </c>
      <c r="E600">
        <v>5</v>
      </c>
      <c r="F600">
        <v>2020</v>
      </c>
      <c r="G600" s="11" t="s">
        <v>9</v>
      </c>
    </row>
    <row r="601" spans="1:7" x14ac:dyDescent="0.25">
      <c r="A601" s="11" t="s">
        <v>145</v>
      </c>
      <c r="B601" s="11" t="s">
        <v>671</v>
      </c>
      <c r="C601">
        <v>4.7</v>
      </c>
      <c r="D601">
        <v>45351</v>
      </c>
      <c r="E601">
        <v>11</v>
      </c>
      <c r="F601">
        <v>2020</v>
      </c>
      <c r="G601" s="1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01"/>
  <sheetViews>
    <sheetView workbookViewId="0">
      <selection activeCell="K17" sqref="K17"/>
    </sheetView>
  </sheetViews>
  <sheetFormatPr defaultColWidth="14.44140625" defaultRowHeight="15.75" customHeight="1" x14ac:dyDescent="0.25"/>
  <cols>
    <col min="1" max="1" width="100" customWidth="1"/>
    <col min="2" max="2" width="10.5546875" customWidth="1"/>
    <col min="3" max="3" width="19.21875" customWidth="1"/>
    <col min="4" max="4" width="10" bestFit="1" customWidth="1"/>
    <col min="5" max="5" width="7.33203125" bestFit="1" customWidth="1"/>
    <col min="6" max="6" width="10.77734375" customWidth="1"/>
    <col min="7" max="7" width="12.21875" customWidth="1"/>
    <col min="8" max="8" width="10.33203125" bestFit="1" customWidth="1"/>
  </cols>
  <sheetData>
    <row r="1" spans="1:14" ht="15.75" customHeight="1" x14ac:dyDescent="0.3">
      <c r="A1" s="1" t="s">
        <v>0</v>
      </c>
      <c r="B1" s="6" t="s">
        <v>676</v>
      </c>
      <c r="C1" s="1" t="s">
        <v>1</v>
      </c>
      <c r="D1" s="1" t="s">
        <v>2</v>
      </c>
      <c r="E1" s="6" t="s">
        <v>3</v>
      </c>
      <c r="F1" s="1" t="s">
        <v>4</v>
      </c>
      <c r="G1" s="6" t="s">
        <v>677</v>
      </c>
      <c r="H1" s="1" t="s">
        <v>5</v>
      </c>
      <c r="I1" s="1" t="s">
        <v>6</v>
      </c>
      <c r="J1" s="6" t="s">
        <v>678</v>
      </c>
    </row>
    <row r="2" spans="1:14" ht="15.75" customHeight="1" x14ac:dyDescent="0.3">
      <c r="A2" s="1" t="s">
        <v>251</v>
      </c>
      <c r="B2" s="1" t="str">
        <f t="shared" ref="B2:B65" si="0">LEFT(A2,FIND(" ",A2&amp;" ")-1)</f>
        <v>Jesus</v>
      </c>
      <c r="C2" s="1" t="s">
        <v>252</v>
      </c>
      <c r="D2" s="2">
        <v>4.9000000000000004</v>
      </c>
      <c r="E2" s="2">
        <v>19576</v>
      </c>
      <c r="F2" s="2">
        <v>8</v>
      </c>
      <c r="G2" s="2" t="str">
        <f t="shared" ref="G2:G65" si="1">IF(F2&gt;10,"High Price","Normal Price")</f>
        <v>Normal Price</v>
      </c>
      <c r="H2" s="2">
        <v>2011</v>
      </c>
      <c r="I2" s="1" t="s">
        <v>9</v>
      </c>
      <c r="J2" s="5" t="str">
        <f t="shared" ref="J2:J65" si="2">IF(D2&gt;=4.5,"Excellent",IF(D2&gt;=4,"Good","Average"))</f>
        <v>Excellent</v>
      </c>
      <c r="L2" s="12" t="s">
        <v>672</v>
      </c>
      <c r="M2" s="12" t="s">
        <v>673</v>
      </c>
    </row>
    <row r="3" spans="1:14" ht="15.75" customHeight="1" x14ac:dyDescent="0.3">
      <c r="A3" s="1" t="s">
        <v>196</v>
      </c>
      <c r="B3" s="1" t="str">
        <f t="shared" si="0"/>
        <v>Goodnight,</v>
      </c>
      <c r="C3" s="1" t="s">
        <v>197</v>
      </c>
      <c r="D3" s="2">
        <v>4.9000000000000004</v>
      </c>
      <c r="E3" s="2">
        <v>7038</v>
      </c>
      <c r="F3" s="2">
        <v>7</v>
      </c>
      <c r="G3" s="2" t="str">
        <f t="shared" si="1"/>
        <v>Normal Price</v>
      </c>
      <c r="H3" s="2">
        <v>2012</v>
      </c>
      <c r="I3" s="1" t="s">
        <v>12</v>
      </c>
      <c r="J3" s="5" t="str">
        <f t="shared" si="2"/>
        <v>Excellent</v>
      </c>
      <c r="L3" s="8"/>
      <c r="M3" s="8"/>
      <c r="N3" s="10"/>
    </row>
    <row r="4" spans="1:14" ht="15.75" customHeight="1" x14ac:dyDescent="0.3">
      <c r="A4" s="1" t="s">
        <v>251</v>
      </c>
      <c r="B4" s="1" t="str">
        <f t="shared" si="0"/>
        <v>Jesus</v>
      </c>
      <c r="C4" s="1" t="s">
        <v>252</v>
      </c>
      <c r="D4" s="2">
        <v>4.9000000000000004</v>
      </c>
      <c r="E4" s="2">
        <v>19576</v>
      </c>
      <c r="F4" s="2">
        <v>8</v>
      </c>
      <c r="G4" s="2" t="str">
        <f t="shared" si="1"/>
        <v>Normal Price</v>
      </c>
      <c r="H4" s="2">
        <v>2012</v>
      </c>
      <c r="I4" s="1" t="s">
        <v>9</v>
      </c>
      <c r="J4" s="5" t="str">
        <f t="shared" si="2"/>
        <v>Excellent</v>
      </c>
      <c r="L4" s="9" t="s">
        <v>12</v>
      </c>
      <c r="M4" s="9">
        <f>COUNTIF(I:I,"Fiction")</f>
        <v>263</v>
      </c>
      <c r="N4" s="10"/>
    </row>
    <row r="5" spans="1:14" ht="15.75" customHeight="1" x14ac:dyDescent="0.3">
      <c r="A5" s="1" t="s">
        <v>317</v>
      </c>
      <c r="B5" s="1" t="str">
        <f t="shared" si="0"/>
        <v>Oh,</v>
      </c>
      <c r="C5" s="1" t="s">
        <v>318</v>
      </c>
      <c r="D5" s="2">
        <v>4.9000000000000004</v>
      </c>
      <c r="E5" s="2">
        <v>21834</v>
      </c>
      <c r="F5" s="2">
        <v>8</v>
      </c>
      <c r="G5" s="2" t="str">
        <f t="shared" si="1"/>
        <v>Normal Price</v>
      </c>
      <c r="H5" s="2">
        <v>2012</v>
      </c>
      <c r="I5" s="1" t="s">
        <v>12</v>
      </c>
      <c r="J5" s="5" t="str">
        <f t="shared" si="2"/>
        <v>Excellent</v>
      </c>
      <c r="L5" s="9" t="s">
        <v>9</v>
      </c>
      <c r="M5" s="9">
        <f>COUNTIF(I:I,"Non Fiction")</f>
        <v>337</v>
      </c>
      <c r="N5" s="10"/>
    </row>
    <row r="6" spans="1:14" ht="15.75" customHeight="1" x14ac:dyDescent="0.3">
      <c r="A6" s="1" t="s">
        <v>196</v>
      </c>
      <c r="B6" s="1" t="str">
        <f t="shared" si="0"/>
        <v>Goodnight,</v>
      </c>
      <c r="C6" s="1" t="s">
        <v>197</v>
      </c>
      <c r="D6" s="2">
        <v>4.9000000000000004</v>
      </c>
      <c r="E6" s="2">
        <v>7038</v>
      </c>
      <c r="F6" s="2">
        <v>7</v>
      </c>
      <c r="G6" s="2" t="str">
        <f t="shared" si="1"/>
        <v>Normal Price</v>
      </c>
      <c r="H6" s="2">
        <v>2013</v>
      </c>
      <c r="I6" s="1" t="s">
        <v>12</v>
      </c>
      <c r="J6" s="5" t="str">
        <f t="shared" si="2"/>
        <v>Excellent</v>
      </c>
      <c r="L6" s="13" t="s">
        <v>674</v>
      </c>
      <c r="M6" s="14">
        <f>SUM(M4,M5)</f>
        <v>600</v>
      </c>
      <c r="N6" s="10"/>
    </row>
    <row r="7" spans="1:14" ht="15.75" customHeight="1" x14ac:dyDescent="0.3">
      <c r="A7" s="1" t="s">
        <v>251</v>
      </c>
      <c r="B7" s="1" t="str">
        <f t="shared" si="0"/>
        <v>Jesus</v>
      </c>
      <c r="C7" s="1" t="s">
        <v>252</v>
      </c>
      <c r="D7" s="2">
        <v>4.9000000000000004</v>
      </c>
      <c r="E7" s="2">
        <v>19576</v>
      </c>
      <c r="F7" s="2">
        <v>8</v>
      </c>
      <c r="G7" s="2" t="str">
        <f t="shared" si="1"/>
        <v>Normal Price</v>
      </c>
      <c r="H7" s="2">
        <v>2013</v>
      </c>
      <c r="I7" s="1" t="s">
        <v>9</v>
      </c>
      <c r="J7" s="5" t="str">
        <f t="shared" si="2"/>
        <v>Excellent</v>
      </c>
      <c r="L7" s="10"/>
      <c r="M7" s="10"/>
      <c r="N7" s="10"/>
    </row>
    <row r="8" spans="1:14" ht="15.75" customHeight="1" x14ac:dyDescent="0.3">
      <c r="A8" s="1" t="s">
        <v>317</v>
      </c>
      <c r="B8" s="1" t="str">
        <f t="shared" si="0"/>
        <v>Oh,</v>
      </c>
      <c r="C8" s="1" t="s">
        <v>318</v>
      </c>
      <c r="D8" s="2">
        <v>4.9000000000000004</v>
      </c>
      <c r="E8" s="2">
        <v>21834</v>
      </c>
      <c r="F8" s="2">
        <v>8</v>
      </c>
      <c r="G8" s="2" t="str">
        <f t="shared" si="1"/>
        <v>Normal Price</v>
      </c>
      <c r="H8" s="2">
        <v>2013</v>
      </c>
      <c r="I8" s="1" t="s">
        <v>12</v>
      </c>
      <c r="J8" s="5" t="str">
        <f t="shared" si="2"/>
        <v>Excellent</v>
      </c>
    </row>
    <row r="9" spans="1:14" ht="15.75" customHeight="1" x14ac:dyDescent="0.3">
      <c r="A9" s="1" t="s">
        <v>348</v>
      </c>
      <c r="B9" s="1" t="str">
        <f t="shared" si="0"/>
        <v>Rush</v>
      </c>
      <c r="C9" s="1" t="s">
        <v>349</v>
      </c>
      <c r="D9" s="2">
        <v>4.9000000000000004</v>
      </c>
      <c r="E9" s="2">
        <v>7150</v>
      </c>
      <c r="F9" s="2">
        <v>12</v>
      </c>
      <c r="G9" s="2" t="str">
        <f t="shared" si="1"/>
        <v>High Price</v>
      </c>
      <c r="H9" s="2">
        <v>2013</v>
      </c>
      <c r="I9" s="1" t="s">
        <v>12</v>
      </c>
      <c r="J9" s="5" t="str">
        <f t="shared" si="2"/>
        <v>Excellent</v>
      </c>
    </row>
    <row r="10" spans="1:14" ht="15.75" customHeight="1" x14ac:dyDescent="0.3">
      <c r="A10" s="1" t="s">
        <v>469</v>
      </c>
      <c r="B10" s="1" t="str">
        <f t="shared" si="0"/>
        <v>The</v>
      </c>
      <c r="C10" s="1" t="s">
        <v>470</v>
      </c>
      <c r="D10" s="2">
        <v>4.9000000000000004</v>
      </c>
      <c r="E10" s="2">
        <v>5396</v>
      </c>
      <c r="F10" s="2">
        <v>20</v>
      </c>
      <c r="G10" s="2" t="str">
        <f t="shared" si="1"/>
        <v>High Price</v>
      </c>
      <c r="H10" s="2">
        <v>2013</v>
      </c>
      <c r="I10" s="1" t="s">
        <v>12</v>
      </c>
      <c r="J10" s="5" t="str">
        <f t="shared" si="2"/>
        <v>Excellent</v>
      </c>
    </row>
    <row r="11" spans="1:14" ht="15.75" customHeight="1" x14ac:dyDescent="0.3">
      <c r="A11" s="1" t="s">
        <v>534</v>
      </c>
      <c r="B11" s="1" t="str">
        <f t="shared" si="0"/>
        <v>The</v>
      </c>
      <c r="C11" s="1" t="s">
        <v>535</v>
      </c>
      <c r="D11" s="2">
        <v>4.9000000000000004</v>
      </c>
      <c r="E11" s="2">
        <v>19546</v>
      </c>
      <c r="F11" s="2">
        <v>5</v>
      </c>
      <c r="G11" s="2" t="str">
        <f t="shared" si="1"/>
        <v>Normal Price</v>
      </c>
      <c r="H11" s="2">
        <v>2013</v>
      </c>
      <c r="I11" s="1" t="s">
        <v>12</v>
      </c>
      <c r="J11" s="5" t="str">
        <f t="shared" si="2"/>
        <v>Excellent</v>
      </c>
    </row>
    <row r="12" spans="1:14" ht="15.75" customHeight="1" x14ac:dyDescent="0.3">
      <c r="A12" s="1" t="s">
        <v>251</v>
      </c>
      <c r="B12" s="1" t="str">
        <f t="shared" si="0"/>
        <v>Jesus</v>
      </c>
      <c r="C12" s="1" t="s">
        <v>252</v>
      </c>
      <c r="D12" s="2">
        <v>4.9000000000000004</v>
      </c>
      <c r="E12" s="2">
        <v>19576</v>
      </c>
      <c r="F12" s="2">
        <v>8</v>
      </c>
      <c r="G12" s="2" t="str">
        <f t="shared" si="1"/>
        <v>Normal Price</v>
      </c>
      <c r="H12" s="2">
        <v>2014</v>
      </c>
      <c r="I12" s="1" t="s">
        <v>9</v>
      </c>
      <c r="J12" s="5" t="str">
        <f t="shared" si="2"/>
        <v>Excellent</v>
      </c>
    </row>
    <row r="13" spans="1:14" ht="15.75" customHeight="1" x14ac:dyDescent="0.3">
      <c r="A13" s="1" t="s">
        <v>283</v>
      </c>
      <c r="B13" s="1" t="str">
        <f t="shared" si="0"/>
        <v>Little</v>
      </c>
      <c r="C13" s="1" t="s">
        <v>284</v>
      </c>
      <c r="D13" s="2">
        <v>4.9000000000000004</v>
      </c>
      <c r="E13" s="2">
        <v>1884</v>
      </c>
      <c r="F13" s="2">
        <v>0</v>
      </c>
      <c r="G13" s="2" t="str">
        <f t="shared" si="1"/>
        <v>Normal Price</v>
      </c>
      <c r="H13" s="2">
        <v>2014</v>
      </c>
      <c r="I13" s="1" t="s">
        <v>12</v>
      </c>
      <c r="J13" s="5" t="str">
        <f t="shared" si="2"/>
        <v>Excellent</v>
      </c>
    </row>
    <row r="14" spans="1:14" ht="15.75" customHeight="1" x14ac:dyDescent="0.3">
      <c r="A14" s="1" t="s">
        <v>317</v>
      </c>
      <c r="B14" s="1" t="str">
        <f t="shared" si="0"/>
        <v>Oh,</v>
      </c>
      <c r="C14" s="1" t="s">
        <v>318</v>
      </c>
      <c r="D14" s="2">
        <v>4.9000000000000004</v>
      </c>
      <c r="E14" s="2">
        <v>21834</v>
      </c>
      <c r="F14" s="2">
        <v>8</v>
      </c>
      <c r="G14" s="2" t="str">
        <f t="shared" si="1"/>
        <v>Normal Price</v>
      </c>
      <c r="H14" s="2">
        <v>2014</v>
      </c>
      <c r="I14" s="1" t="s">
        <v>12</v>
      </c>
      <c r="J14" s="5" t="str">
        <f t="shared" si="2"/>
        <v>Excellent</v>
      </c>
    </row>
    <row r="15" spans="1:14" ht="15.75" customHeight="1" x14ac:dyDescent="0.3">
      <c r="A15" s="1" t="s">
        <v>350</v>
      </c>
      <c r="B15" s="1" t="str">
        <f t="shared" si="0"/>
        <v>Rush</v>
      </c>
      <c r="C15" s="1" t="s">
        <v>349</v>
      </c>
      <c r="D15" s="2">
        <v>4.9000000000000004</v>
      </c>
      <c r="E15" s="2">
        <v>3836</v>
      </c>
      <c r="F15" s="2">
        <v>12</v>
      </c>
      <c r="G15" s="2" t="str">
        <f t="shared" si="1"/>
        <v>High Price</v>
      </c>
      <c r="H15" s="2">
        <v>2014</v>
      </c>
      <c r="I15" s="1" t="s">
        <v>12</v>
      </c>
      <c r="J15" s="5" t="str">
        <f t="shared" si="2"/>
        <v>Excellent</v>
      </c>
    </row>
    <row r="16" spans="1:14" ht="15.75" customHeight="1" x14ac:dyDescent="0.3">
      <c r="A16" s="1" t="s">
        <v>534</v>
      </c>
      <c r="B16" s="1" t="str">
        <f t="shared" si="0"/>
        <v>The</v>
      </c>
      <c r="C16" s="1" t="s">
        <v>535</v>
      </c>
      <c r="D16" s="2">
        <v>4.9000000000000004</v>
      </c>
      <c r="E16" s="2">
        <v>19546</v>
      </c>
      <c r="F16" s="2">
        <v>5</v>
      </c>
      <c r="G16" s="2" t="str">
        <f t="shared" si="1"/>
        <v>Normal Price</v>
      </c>
      <c r="H16" s="2">
        <v>2014</v>
      </c>
      <c r="I16" s="1" t="s">
        <v>12</v>
      </c>
      <c r="J16" s="5" t="str">
        <f t="shared" si="2"/>
        <v>Excellent</v>
      </c>
    </row>
    <row r="17" spans="1:10" ht="15.75" customHeight="1" x14ac:dyDescent="0.3">
      <c r="A17" s="1" t="s">
        <v>230</v>
      </c>
      <c r="B17" s="1" t="str">
        <f t="shared" si="0"/>
        <v>Humans</v>
      </c>
      <c r="C17" s="1" t="s">
        <v>229</v>
      </c>
      <c r="D17" s="2">
        <v>4.9000000000000004</v>
      </c>
      <c r="E17" s="2">
        <v>2812</v>
      </c>
      <c r="F17" s="2">
        <v>17</v>
      </c>
      <c r="G17" s="2" t="str">
        <f t="shared" si="1"/>
        <v>High Price</v>
      </c>
      <c r="H17" s="2">
        <v>2015</v>
      </c>
      <c r="I17" s="1" t="s">
        <v>9</v>
      </c>
      <c r="J17" s="5" t="str">
        <f t="shared" si="2"/>
        <v>Excellent</v>
      </c>
    </row>
    <row r="18" spans="1:10" ht="15.75" customHeight="1" x14ac:dyDescent="0.3">
      <c r="A18" s="1" t="s">
        <v>251</v>
      </c>
      <c r="B18" s="1" t="str">
        <f t="shared" si="0"/>
        <v>Jesus</v>
      </c>
      <c r="C18" s="1" t="s">
        <v>252</v>
      </c>
      <c r="D18" s="2">
        <v>4.9000000000000004</v>
      </c>
      <c r="E18" s="2">
        <v>19576</v>
      </c>
      <c r="F18" s="2">
        <v>8</v>
      </c>
      <c r="G18" s="2" t="str">
        <f t="shared" si="1"/>
        <v>Normal Price</v>
      </c>
      <c r="H18" s="2">
        <v>2015</v>
      </c>
      <c r="I18" s="1" t="s">
        <v>9</v>
      </c>
      <c r="J18" s="5" t="str">
        <f t="shared" si="2"/>
        <v>Excellent</v>
      </c>
    </row>
    <row r="19" spans="1:10" ht="15.75" customHeight="1" x14ac:dyDescent="0.3">
      <c r="A19" s="1" t="s">
        <v>317</v>
      </c>
      <c r="B19" s="1" t="str">
        <f t="shared" si="0"/>
        <v>Oh,</v>
      </c>
      <c r="C19" s="1" t="s">
        <v>318</v>
      </c>
      <c r="D19" s="2">
        <v>4.9000000000000004</v>
      </c>
      <c r="E19" s="2">
        <v>21834</v>
      </c>
      <c r="F19" s="2">
        <v>8</v>
      </c>
      <c r="G19" s="2" t="str">
        <f t="shared" si="1"/>
        <v>Normal Price</v>
      </c>
      <c r="H19" s="2">
        <v>2015</v>
      </c>
      <c r="I19" s="1" t="s">
        <v>12</v>
      </c>
      <c r="J19" s="5" t="str">
        <f t="shared" si="2"/>
        <v>Excellent</v>
      </c>
    </row>
    <row r="20" spans="1:10" ht="15.75" customHeight="1" x14ac:dyDescent="0.3">
      <c r="A20" s="1" t="s">
        <v>534</v>
      </c>
      <c r="B20" s="1" t="str">
        <f t="shared" si="0"/>
        <v>The</v>
      </c>
      <c r="C20" s="1" t="s">
        <v>535</v>
      </c>
      <c r="D20" s="2">
        <v>4.9000000000000004</v>
      </c>
      <c r="E20" s="2">
        <v>19546</v>
      </c>
      <c r="F20" s="2">
        <v>5</v>
      </c>
      <c r="G20" s="2" t="str">
        <f t="shared" si="1"/>
        <v>Normal Price</v>
      </c>
      <c r="H20" s="2">
        <v>2015</v>
      </c>
      <c r="I20" s="1" t="s">
        <v>12</v>
      </c>
      <c r="J20" s="5" t="str">
        <f t="shared" si="2"/>
        <v>Excellent</v>
      </c>
    </row>
    <row r="21" spans="1:10" ht="15.75" customHeight="1" x14ac:dyDescent="0.3">
      <c r="A21" s="1" t="s">
        <v>203</v>
      </c>
      <c r="B21" s="1" t="str">
        <f t="shared" si="0"/>
        <v>Hamilton:</v>
      </c>
      <c r="C21" s="1" t="s">
        <v>204</v>
      </c>
      <c r="D21" s="2">
        <v>4.9000000000000004</v>
      </c>
      <c r="E21" s="2">
        <v>5867</v>
      </c>
      <c r="F21" s="2">
        <v>54</v>
      </c>
      <c r="G21" s="2" t="str">
        <f t="shared" si="1"/>
        <v>High Price</v>
      </c>
      <c r="H21" s="2">
        <v>2016</v>
      </c>
      <c r="I21" s="1" t="s">
        <v>9</v>
      </c>
      <c r="J21" s="5" t="str">
        <f t="shared" si="2"/>
        <v>Excellent</v>
      </c>
    </row>
    <row r="22" spans="1:10" ht="15.75" customHeight="1" x14ac:dyDescent="0.3">
      <c r="A22" s="1" t="s">
        <v>207</v>
      </c>
      <c r="B22" s="1" t="str">
        <f t="shared" si="0"/>
        <v>Harry</v>
      </c>
      <c r="C22" s="1" t="s">
        <v>152</v>
      </c>
      <c r="D22" s="2">
        <v>4.9000000000000004</v>
      </c>
      <c r="E22" s="2">
        <v>19622</v>
      </c>
      <c r="F22" s="2">
        <v>30</v>
      </c>
      <c r="G22" s="2" t="str">
        <f t="shared" si="1"/>
        <v>High Price</v>
      </c>
      <c r="H22" s="2">
        <v>2016</v>
      </c>
      <c r="I22" s="1" t="s">
        <v>12</v>
      </c>
      <c r="J22" s="5" t="str">
        <f t="shared" si="2"/>
        <v>Excellent</v>
      </c>
    </row>
    <row r="23" spans="1:10" ht="15.75" customHeight="1" x14ac:dyDescent="0.3">
      <c r="A23" s="1" t="s">
        <v>212</v>
      </c>
      <c r="B23" s="1" t="str">
        <f t="shared" si="0"/>
        <v>Harry</v>
      </c>
      <c r="C23" s="1" t="s">
        <v>152</v>
      </c>
      <c r="D23" s="2">
        <v>4.9000000000000004</v>
      </c>
      <c r="E23" s="2">
        <v>10052</v>
      </c>
      <c r="F23" s="2">
        <v>22</v>
      </c>
      <c r="G23" s="2" t="str">
        <f t="shared" si="1"/>
        <v>High Price</v>
      </c>
      <c r="H23" s="2">
        <v>2016</v>
      </c>
      <c r="I23" s="1" t="s">
        <v>12</v>
      </c>
      <c r="J23" s="5" t="str">
        <f t="shared" si="2"/>
        <v>Excellent</v>
      </c>
    </row>
    <row r="24" spans="1:10" ht="15.75" customHeight="1" x14ac:dyDescent="0.3">
      <c r="A24" s="1" t="s">
        <v>251</v>
      </c>
      <c r="B24" s="1" t="str">
        <f t="shared" si="0"/>
        <v>Jesus</v>
      </c>
      <c r="C24" s="1" t="s">
        <v>252</v>
      </c>
      <c r="D24" s="2">
        <v>4.9000000000000004</v>
      </c>
      <c r="E24" s="2">
        <v>19576</v>
      </c>
      <c r="F24" s="2">
        <v>8</v>
      </c>
      <c r="G24" s="2" t="str">
        <f t="shared" si="1"/>
        <v>Normal Price</v>
      </c>
      <c r="H24" s="2">
        <v>2016</v>
      </c>
      <c r="I24" s="1" t="s">
        <v>9</v>
      </c>
      <c r="J24" s="5" t="str">
        <f t="shared" si="2"/>
        <v>Excellent</v>
      </c>
    </row>
    <row r="25" spans="1:10" ht="15.75" customHeight="1" x14ac:dyDescent="0.3">
      <c r="A25" s="1" t="s">
        <v>317</v>
      </c>
      <c r="B25" s="1" t="str">
        <f t="shared" si="0"/>
        <v>Oh,</v>
      </c>
      <c r="C25" s="1" t="s">
        <v>318</v>
      </c>
      <c r="D25" s="2">
        <v>4.9000000000000004</v>
      </c>
      <c r="E25" s="2">
        <v>21834</v>
      </c>
      <c r="F25" s="2">
        <v>8</v>
      </c>
      <c r="G25" s="2" t="str">
        <f t="shared" si="1"/>
        <v>Normal Price</v>
      </c>
      <c r="H25" s="2">
        <v>2016</v>
      </c>
      <c r="I25" s="1" t="s">
        <v>12</v>
      </c>
      <c r="J25" s="5" t="str">
        <f t="shared" si="2"/>
        <v>Excellent</v>
      </c>
    </row>
    <row r="26" spans="1:10" ht="15.75" customHeight="1" x14ac:dyDescent="0.3">
      <c r="A26" s="1" t="s">
        <v>480</v>
      </c>
      <c r="B26" s="1" t="str">
        <f t="shared" si="0"/>
        <v>The</v>
      </c>
      <c r="C26" s="1" t="s">
        <v>481</v>
      </c>
      <c r="D26" s="2">
        <v>4.9000000000000004</v>
      </c>
      <c r="E26" s="2">
        <v>7861</v>
      </c>
      <c r="F26" s="2">
        <v>5</v>
      </c>
      <c r="G26" s="2" t="str">
        <f t="shared" si="1"/>
        <v>Normal Price</v>
      </c>
      <c r="H26" s="2">
        <v>2016</v>
      </c>
      <c r="I26" s="1" t="s">
        <v>9</v>
      </c>
      <c r="J26" s="5" t="str">
        <f t="shared" si="2"/>
        <v>Excellent</v>
      </c>
    </row>
    <row r="27" spans="1:10" ht="14.4" x14ac:dyDescent="0.3">
      <c r="A27" s="1" t="s">
        <v>534</v>
      </c>
      <c r="B27" s="1" t="str">
        <f t="shared" si="0"/>
        <v>The</v>
      </c>
      <c r="C27" s="1" t="s">
        <v>535</v>
      </c>
      <c r="D27" s="2">
        <v>4.9000000000000004</v>
      </c>
      <c r="E27" s="2">
        <v>19546</v>
      </c>
      <c r="F27" s="2">
        <v>5</v>
      </c>
      <c r="G27" s="2" t="str">
        <f t="shared" si="1"/>
        <v>Normal Price</v>
      </c>
      <c r="H27" s="2">
        <v>2016</v>
      </c>
      <c r="I27" s="1" t="s">
        <v>12</v>
      </c>
      <c r="J27" s="5" t="str">
        <f t="shared" si="2"/>
        <v>Excellent</v>
      </c>
    </row>
    <row r="28" spans="1:10" ht="14.4" x14ac:dyDescent="0.3">
      <c r="A28" s="1" t="s">
        <v>538</v>
      </c>
      <c r="B28" s="1" t="str">
        <f t="shared" si="0"/>
        <v>The</v>
      </c>
      <c r="C28" s="1" t="s">
        <v>539</v>
      </c>
      <c r="D28" s="2">
        <v>4.9000000000000004</v>
      </c>
      <c r="E28" s="2">
        <v>8842</v>
      </c>
      <c r="F28" s="2">
        <v>10</v>
      </c>
      <c r="G28" s="2" t="str">
        <f t="shared" si="1"/>
        <v>Normal Price</v>
      </c>
      <c r="H28" s="2">
        <v>2016</v>
      </c>
      <c r="I28" s="1" t="s">
        <v>12</v>
      </c>
      <c r="J28" s="5" t="str">
        <f t="shared" si="2"/>
        <v>Excellent</v>
      </c>
    </row>
    <row r="29" spans="1:10" ht="14.4" x14ac:dyDescent="0.3">
      <c r="A29" s="1" t="s">
        <v>76</v>
      </c>
      <c r="B29" s="1" t="str">
        <f t="shared" si="0"/>
        <v>Brown</v>
      </c>
      <c r="C29" s="1" t="s">
        <v>77</v>
      </c>
      <c r="D29" s="2">
        <v>4.9000000000000004</v>
      </c>
      <c r="E29" s="2">
        <v>14344</v>
      </c>
      <c r="F29" s="2">
        <v>5</v>
      </c>
      <c r="G29" s="2" t="str">
        <f t="shared" si="1"/>
        <v>Normal Price</v>
      </c>
      <c r="H29" s="2">
        <v>2017</v>
      </c>
      <c r="I29" s="1" t="s">
        <v>12</v>
      </c>
      <c r="J29" s="5" t="str">
        <f t="shared" si="2"/>
        <v>Excellent</v>
      </c>
    </row>
    <row r="30" spans="1:10" ht="14.4" x14ac:dyDescent="0.3">
      <c r="A30" s="1" t="s">
        <v>128</v>
      </c>
      <c r="B30" s="1" t="str">
        <f t="shared" si="0"/>
        <v>Dog</v>
      </c>
      <c r="C30" s="1" t="s">
        <v>127</v>
      </c>
      <c r="D30" s="2">
        <v>4.9000000000000004</v>
      </c>
      <c r="E30" s="2">
        <v>4786</v>
      </c>
      <c r="F30" s="2">
        <v>8</v>
      </c>
      <c r="G30" s="2" t="str">
        <f t="shared" si="1"/>
        <v>Normal Price</v>
      </c>
      <c r="H30" s="2">
        <v>2017</v>
      </c>
      <c r="I30" s="1" t="s">
        <v>12</v>
      </c>
      <c r="J30" s="5" t="str">
        <f t="shared" si="2"/>
        <v>Excellent</v>
      </c>
    </row>
    <row r="31" spans="1:10" ht="14.4" x14ac:dyDescent="0.3">
      <c r="A31" s="1" t="s">
        <v>211</v>
      </c>
      <c r="B31" s="1" t="str">
        <f t="shared" si="0"/>
        <v>Harry</v>
      </c>
      <c r="C31" s="1" t="s">
        <v>152</v>
      </c>
      <c r="D31" s="2">
        <v>4.9000000000000004</v>
      </c>
      <c r="E31" s="2">
        <v>3146</v>
      </c>
      <c r="F31" s="2">
        <v>30</v>
      </c>
      <c r="G31" s="2" t="str">
        <f t="shared" si="1"/>
        <v>High Price</v>
      </c>
      <c r="H31" s="2">
        <v>2017</v>
      </c>
      <c r="I31" s="1" t="s">
        <v>12</v>
      </c>
      <c r="J31" s="5" t="str">
        <f t="shared" si="2"/>
        <v>Excellent</v>
      </c>
    </row>
    <row r="32" spans="1:10" ht="14.4" x14ac:dyDescent="0.3">
      <c r="A32" s="1" t="s">
        <v>315</v>
      </c>
      <c r="B32" s="1" t="str">
        <f t="shared" si="0"/>
        <v>Obama:</v>
      </c>
      <c r="C32" s="1" t="s">
        <v>316</v>
      </c>
      <c r="D32" s="2">
        <v>4.9000000000000004</v>
      </c>
      <c r="E32" s="2">
        <v>3192</v>
      </c>
      <c r="F32" s="2">
        <v>22</v>
      </c>
      <c r="G32" s="2" t="str">
        <f t="shared" si="1"/>
        <v>High Price</v>
      </c>
      <c r="H32" s="2">
        <v>2017</v>
      </c>
      <c r="I32" s="1" t="s">
        <v>9</v>
      </c>
      <c r="J32" s="5" t="str">
        <f t="shared" si="2"/>
        <v>Excellent</v>
      </c>
    </row>
    <row r="33" spans="1:10" ht="14.4" x14ac:dyDescent="0.3">
      <c r="A33" s="1" t="s">
        <v>317</v>
      </c>
      <c r="B33" s="1" t="str">
        <f t="shared" si="0"/>
        <v>Oh,</v>
      </c>
      <c r="C33" s="1" t="s">
        <v>318</v>
      </c>
      <c r="D33" s="2">
        <v>4.9000000000000004</v>
      </c>
      <c r="E33" s="2">
        <v>21834</v>
      </c>
      <c r="F33" s="2">
        <v>8</v>
      </c>
      <c r="G33" s="2" t="str">
        <f t="shared" si="1"/>
        <v>Normal Price</v>
      </c>
      <c r="H33" s="2">
        <v>2017</v>
      </c>
      <c r="I33" s="1" t="s">
        <v>12</v>
      </c>
      <c r="J33" s="5" t="str">
        <f t="shared" si="2"/>
        <v>Excellent</v>
      </c>
    </row>
    <row r="34" spans="1:10" ht="14.4" x14ac:dyDescent="0.3">
      <c r="A34" s="1" t="s">
        <v>534</v>
      </c>
      <c r="B34" s="1" t="str">
        <f t="shared" si="0"/>
        <v>The</v>
      </c>
      <c r="C34" s="1" t="s">
        <v>535</v>
      </c>
      <c r="D34" s="2">
        <v>4.9000000000000004</v>
      </c>
      <c r="E34" s="2">
        <v>19546</v>
      </c>
      <c r="F34" s="2">
        <v>5</v>
      </c>
      <c r="G34" s="2" t="str">
        <f t="shared" si="1"/>
        <v>Normal Price</v>
      </c>
      <c r="H34" s="2">
        <v>2017</v>
      </c>
      <c r="I34" s="1" t="s">
        <v>12</v>
      </c>
      <c r="J34" s="5" t="str">
        <f t="shared" si="2"/>
        <v>Excellent</v>
      </c>
    </row>
    <row r="35" spans="1:10" ht="14.4" x14ac:dyDescent="0.3">
      <c r="A35" s="1" t="s">
        <v>538</v>
      </c>
      <c r="B35" s="1" t="str">
        <f t="shared" si="0"/>
        <v>The</v>
      </c>
      <c r="C35" s="1" t="s">
        <v>539</v>
      </c>
      <c r="D35" s="2">
        <v>4.9000000000000004</v>
      </c>
      <c r="E35" s="2">
        <v>8842</v>
      </c>
      <c r="F35" s="2">
        <v>10</v>
      </c>
      <c r="G35" s="2" t="str">
        <f t="shared" si="1"/>
        <v>Normal Price</v>
      </c>
      <c r="H35" s="2">
        <v>2017</v>
      </c>
      <c r="I35" s="1" t="s">
        <v>12</v>
      </c>
      <c r="J35" s="5" t="str">
        <f t="shared" si="2"/>
        <v>Excellent</v>
      </c>
    </row>
    <row r="36" spans="1:10" ht="14.4" x14ac:dyDescent="0.3">
      <c r="A36" s="1" t="s">
        <v>126</v>
      </c>
      <c r="B36" s="1" t="str">
        <f t="shared" si="0"/>
        <v>Dog</v>
      </c>
      <c r="C36" s="1" t="s">
        <v>127</v>
      </c>
      <c r="D36" s="2">
        <v>4.9000000000000004</v>
      </c>
      <c r="E36" s="2">
        <v>5062</v>
      </c>
      <c r="F36" s="2">
        <v>6</v>
      </c>
      <c r="G36" s="2" t="str">
        <f t="shared" si="1"/>
        <v>Normal Price</v>
      </c>
      <c r="H36" s="2">
        <v>2018</v>
      </c>
      <c r="I36" s="1" t="s">
        <v>12</v>
      </c>
      <c r="J36" s="5" t="str">
        <f t="shared" si="2"/>
        <v>Excellent</v>
      </c>
    </row>
    <row r="37" spans="1:10" ht="14.4" x14ac:dyDescent="0.3">
      <c r="A37" s="1" t="s">
        <v>129</v>
      </c>
      <c r="B37" s="1" t="str">
        <f t="shared" si="0"/>
        <v>Dog</v>
      </c>
      <c r="C37" s="1" t="s">
        <v>127</v>
      </c>
      <c r="D37" s="2">
        <v>4.9000000000000004</v>
      </c>
      <c r="E37" s="2">
        <v>7235</v>
      </c>
      <c r="F37" s="2">
        <v>4</v>
      </c>
      <c r="G37" s="2" t="str">
        <f t="shared" si="1"/>
        <v>Normal Price</v>
      </c>
      <c r="H37" s="2">
        <v>2018</v>
      </c>
      <c r="I37" s="1" t="s">
        <v>12</v>
      </c>
      <c r="J37" s="5" t="str">
        <f t="shared" si="2"/>
        <v>Excellent</v>
      </c>
    </row>
    <row r="38" spans="1:10" ht="14.4" x14ac:dyDescent="0.3">
      <c r="A38" s="1" t="s">
        <v>132</v>
      </c>
      <c r="B38" s="1" t="str">
        <f t="shared" si="0"/>
        <v>Dog</v>
      </c>
      <c r="C38" s="1" t="s">
        <v>127</v>
      </c>
      <c r="D38" s="2">
        <v>4.9000000000000004</v>
      </c>
      <c r="E38" s="2">
        <v>5470</v>
      </c>
      <c r="F38" s="2">
        <v>6</v>
      </c>
      <c r="G38" s="2" t="str">
        <f t="shared" si="1"/>
        <v>Normal Price</v>
      </c>
      <c r="H38" s="2">
        <v>2018</v>
      </c>
      <c r="I38" s="1" t="s">
        <v>12</v>
      </c>
      <c r="J38" s="5" t="str">
        <f t="shared" si="2"/>
        <v>Excellent</v>
      </c>
    </row>
    <row r="39" spans="1:10" ht="14.4" x14ac:dyDescent="0.3">
      <c r="A39" s="1" t="s">
        <v>268</v>
      </c>
      <c r="B39" s="1" t="str">
        <f t="shared" si="0"/>
        <v>Last</v>
      </c>
      <c r="C39" s="1" t="s">
        <v>269</v>
      </c>
      <c r="D39" s="2">
        <v>4.9000000000000004</v>
      </c>
      <c r="E39" s="2">
        <v>11881</v>
      </c>
      <c r="F39" s="2">
        <v>13</v>
      </c>
      <c r="G39" s="2" t="str">
        <f t="shared" si="1"/>
        <v>High Price</v>
      </c>
      <c r="H39" s="2">
        <v>2018</v>
      </c>
      <c r="I39" s="1" t="s">
        <v>12</v>
      </c>
      <c r="J39" s="5" t="str">
        <f t="shared" si="2"/>
        <v>Excellent</v>
      </c>
    </row>
    <row r="40" spans="1:10" ht="14.4" x14ac:dyDescent="0.3">
      <c r="A40" s="1" t="s">
        <v>317</v>
      </c>
      <c r="B40" s="1" t="str">
        <f t="shared" si="0"/>
        <v>Oh,</v>
      </c>
      <c r="C40" s="1" t="s">
        <v>318</v>
      </c>
      <c r="D40" s="2">
        <v>4.9000000000000004</v>
      </c>
      <c r="E40" s="2">
        <v>21834</v>
      </c>
      <c r="F40" s="2">
        <v>8</v>
      </c>
      <c r="G40" s="2" t="str">
        <f t="shared" si="1"/>
        <v>Normal Price</v>
      </c>
      <c r="H40" s="2">
        <v>2018</v>
      </c>
      <c r="I40" s="1" t="s">
        <v>12</v>
      </c>
      <c r="J40" s="5" t="str">
        <f t="shared" si="2"/>
        <v>Excellent</v>
      </c>
    </row>
    <row r="41" spans="1:10" ht="14.4" x14ac:dyDescent="0.3">
      <c r="A41" s="1" t="s">
        <v>534</v>
      </c>
      <c r="B41" s="1" t="str">
        <f t="shared" si="0"/>
        <v>The</v>
      </c>
      <c r="C41" s="1" t="s">
        <v>535</v>
      </c>
      <c r="D41" s="2">
        <v>4.9000000000000004</v>
      </c>
      <c r="E41" s="2">
        <v>19546</v>
      </c>
      <c r="F41" s="2">
        <v>5</v>
      </c>
      <c r="G41" s="2" t="str">
        <f t="shared" si="1"/>
        <v>Normal Price</v>
      </c>
      <c r="H41" s="2">
        <v>2018</v>
      </c>
      <c r="I41" s="1" t="s">
        <v>12</v>
      </c>
      <c r="J41" s="5" t="str">
        <f t="shared" si="2"/>
        <v>Excellent</v>
      </c>
    </row>
    <row r="42" spans="1:10" ht="14.4" x14ac:dyDescent="0.3">
      <c r="A42" s="1" t="s">
        <v>538</v>
      </c>
      <c r="B42" s="1" t="str">
        <f t="shared" si="0"/>
        <v>The</v>
      </c>
      <c r="C42" s="1" t="s">
        <v>539</v>
      </c>
      <c r="D42" s="2">
        <v>4.9000000000000004</v>
      </c>
      <c r="E42" s="2">
        <v>8842</v>
      </c>
      <c r="F42" s="2">
        <v>10</v>
      </c>
      <c r="G42" s="2" t="str">
        <f t="shared" si="1"/>
        <v>Normal Price</v>
      </c>
      <c r="H42" s="2">
        <v>2018</v>
      </c>
      <c r="I42" s="1" t="s">
        <v>12</v>
      </c>
      <c r="J42" s="5" t="str">
        <f t="shared" si="2"/>
        <v>Excellent</v>
      </c>
    </row>
    <row r="43" spans="1:10" ht="14.4" x14ac:dyDescent="0.3">
      <c r="A43" s="1" t="s">
        <v>76</v>
      </c>
      <c r="B43" s="1" t="str">
        <f t="shared" si="0"/>
        <v>Brown</v>
      </c>
      <c r="C43" s="1" t="s">
        <v>77</v>
      </c>
      <c r="D43" s="2">
        <v>4.9000000000000004</v>
      </c>
      <c r="E43" s="2">
        <v>14344</v>
      </c>
      <c r="F43" s="2">
        <v>5</v>
      </c>
      <c r="G43" s="2" t="str">
        <f t="shared" si="1"/>
        <v>Normal Price</v>
      </c>
      <c r="H43" s="2">
        <v>2019</v>
      </c>
      <c r="I43" s="1" t="s">
        <v>12</v>
      </c>
      <c r="J43" s="5" t="str">
        <f t="shared" si="2"/>
        <v>Excellent</v>
      </c>
    </row>
    <row r="44" spans="1:10" ht="14.4" x14ac:dyDescent="0.3">
      <c r="A44" s="1" t="s">
        <v>129</v>
      </c>
      <c r="B44" s="1" t="str">
        <f t="shared" si="0"/>
        <v>Dog</v>
      </c>
      <c r="C44" s="1" t="s">
        <v>127</v>
      </c>
      <c r="D44" s="2">
        <v>4.9000000000000004</v>
      </c>
      <c r="E44" s="2">
        <v>7235</v>
      </c>
      <c r="F44" s="2">
        <v>4</v>
      </c>
      <c r="G44" s="2" t="str">
        <f t="shared" si="1"/>
        <v>Normal Price</v>
      </c>
      <c r="H44" s="2">
        <v>2019</v>
      </c>
      <c r="I44" s="1" t="s">
        <v>12</v>
      </c>
      <c r="J44" s="5" t="str">
        <f t="shared" si="2"/>
        <v>Excellent</v>
      </c>
    </row>
    <row r="45" spans="1:10" ht="14.4" x14ac:dyDescent="0.3">
      <c r="A45" s="1" t="s">
        <v>130</v>
      </c>
      <c r="B45" s="1" t="str">
        <f t="shared" si="0"/>
        <v>Dog</v>
      </c>
      <c r="C45" s="1" t="s">
        <v>127</v>
      </c>
      <c r="D45" s="2">
        <v>4.9000000000000004</v>
      </c>
      <c r="E45" s="2">
        <v>12619</v>
      </c>
      <c r="F45" s="2">
        <v>8</v>
      </c>
      <c r="G45" s="2" t="str">
        <f t="shared" si="1"/>
        <v>Normal Price</v>
      </c>
      <c r="H45" s="2">
        <v>2019</v>
      </c>
      <c r="I45" s="1" t="s">
        <v>12</v>
      </c>
      <c r="J45" s="5" t="str">
        <f t="shared" si="2"/>
        <v>Excellent</v>
      </c>
    </row>
    <row r="46" spans="1:10" ht="14.4" x14ac:dyDescent="0.3">
      <c r="A46" s="1" t="s">
        <v>131</v>
      </c>
      <c r="B46" s="1" t="str">
        <f t="shared" si="0"/>
        <v>Dog</v>
      </c>
      <c r="C46" s="1" t="s">
        <v>127</v>
      </c>
      <c r="D46" s="2">
        <v>4.9000000000000004</v>
      </c>
      <c r="E46" s="2">
        <v>9089</v>
      </c>
      <c r="F46" s="2">
        <v>8</v>
      </c>
      <c r="G46" s="2" t="str">
        <f t="shared" si="1"/>
        <v>Normal Price</v>
      </c>
      <c r="H46" s="2">
        <v>2019</v>
      </c>
      <c r="I46" s="1" t="s">
        <v>12</v>
      </c>
      <c r="J46" s="5" t="str">
        <f t="shared" si="2"/>
        <v>Excellent</v>
      </c>
    </row>
    <row r="47" spans="1:10" ht="14.4" x14ac:dyDescent="0.3">
      <c r="A47" s="1" t="s">
        <v>209</v>
      </c>
      <c r="B47" s="1" t="str">
        <f t="shared" si="0"/>
        <v>Harry</v>
      </c>
      <c r="C47" s="1" t="s">
        <v>210</v>
      </c>
      <c r="D47" s="2">
        <v>4.9000000000000004</v>
      </c>
      <c r="E47" s="2">
        <v>7758</v>
      </c>
      <c r="F47" s="2">
        <v>18</v>
      </c>
      <c r="G47" s="2" t="str">
        <f t="shared" si="1"/>
        <v>High Price</v>
      </c>
      <c r="H47" s="2">
        <v>2019</v>
      </c>
      <c r="I47" s="1" t="s">
        <v>12</v>
      </c>
      <c r="J47" s="5" t="str">
        <f t="shared" si="2"/>
        <v>Excellent</v>
      </c>
    </row>
    <row r="48" spans="1:10" ht="14.4" x14ac:dyDescent="0.3">
      <c r="A48" s="1" t="s">
        <v>317</v>
      </c>
      <c r="B48" s="1" t="str">
        <f t="shared" si="0"/>
        <v>Oh,</v>
      </c>
      <c r="C48" s="1" t="s">
        <v>318</v>
      </c>
      <c r="D48" s="2">
        <v>4.9000000000000004</v>
      </c>
      <c r="E48" s="2">
        <v>21834</v>
      </c>
      <c r="F48" s="2">
        <v>8</v>
      </c>
      <c r="G48" s="2" t="str">
        <f t="shared" si="1"/>
        <v>Normal Price</v>
      </c>
      <c r="H48" s="2">
        <v>2019</v>
      </c>
      <c r="I48" s="1" t="s">
        <v>12</v>
      </c>
      <c r="J48" s="5" t="str">
        <f t="shared" si="2"/>
        <v>Excellent</v>
      </c>
    </row>
    <row r="49" spans="1:10" ht="14.4" x14ac:dyDescent="0.3">
      <c r="A49" s="1" t="s">
        <v>367</v>
      </c>
      <c r="B49" s="1" t="str">
        <f t="shared" si="0"/>
        <v>Strange</v>
      </c>
      <c r="C49" s="1" t="s">
        <v>368</v>
      </c>
      <c r="D49" s="2">
        <v>4.9000000000000004</v>
      </c>
      <c r="E49" s="2">
        <v>9382</v>
      </c>
      <c r="F49" s="2">
        <v>6</v>
      </c>
      <c r="G49" s="2" t="str">
        <f t="shared" si="1"/>
        <v>Normal Price</v>
      </c>
      <c r="H49" s="2">
        <v>2019</v>
      </c>
      <c r="I49" s="1" t="s">
        <v>12</v>
      </c>
      <c r="J49" s="5" t="str">
        <f t="shared" si="2"/>
        <v>Excellent</v>
      </c>
    </row>
    <row r="50" spans="1:10" ht="14.4" x14ac:dyDescent="0.3">
      <c r="A50" s="1" t="s">
        <v>534</v>
      </c>
      <c r="B50" s="1" t="str">
        <f t="shared" si="0"/>
        <v>The</v>
      </c>
      <c r="C50" s="1" t="s">
        <v>535</v>
      </c>
      <c r="D50" s="2">
        <v>4.9000000000000004</v>
      </c>
      <c r="E50" s="2">
        <v>19546</v>
      </c>
      <c r="F50" s="2">
        <v>5</v>
      </c>
      <c r="G50" s="2" t="str">
        <f t="shared" si="1"/>
        <v>Normal Price</v>
      </c>
      <c r="H50" s="2">
        <v>2019</v>
      </c>
      <c r="I50" s="1" t="s">
        <v>12</v>
      </c>
      <c r="J50" s="5" t="str">
        <f t="shared" si="2"/>
        <v>Excellent</v>
      </c>
    </row>
    <row r="51" spans="1:10" ht="14.4" x14ac:dyDescent="0.3">
      <c r="A51" s="1" t="s">
        <v>538</v>
      </c>
      <c r="B51" s="1" t="str">
        <f t="shared" si="0"/>
        <v>The</v>
      </c>
      <c r="C51" s="1" t="s">
        <v>539</v>
      </c>
      <c r="D51" s="2">
        <v>4.9000000000000004</v>
      </c>
      <c r="E51" s="2">
        <v>8842</v>
      </c>
      <c r="F51" s="2">
        <v>10</v>
      </c>
      <c r="G51" s="2" t="str">
        <f t="shared" si="1"/>
        <v>Normal Price</v>
      </c>
      <c r="H51" s="2">
        <v>2019</v>
      </c>
      <c r="I51" s="1" t="s">
        <v>12</v>
      </c>
      <c r="J51" s="5" t="str">
        <f t="shared" si="2"/>
        <v>Excellent</v>
      </c>
    </row>
    <row r="52" spans="1:10" ht="14.4" x14ac:dyDescent="0.3">
      <c r="A52" s="1" t="s">
        <v>569</v>
      </c>
      <c r="B52" s="1" t="str">
        <f t="shared" si="0"/>
        <v>Unfreedom</v>
      </c>
      <c r="C52" s="1" t="s">
        <v>278</v>
      </c>
      <c r="D52" s="2">
        <v>4.9000000000000004</v>
      </c>
      <c r="E52" s="2">
        <v>5956</v>
      </c>
      <c r="F52" s="2">
        <v>11</v>
      </c>
      <c r="G52" s="2" t="str">
        <f t="shared" si="1"/>
        <v>High Price</v>
      </c>
      <c r="H52" s="2">
        <v>2019</v>
      </c>
      <c r="I52" s="1" t="s">
        <v>9</v>
      </c>
      <c r="J52" s="5" t="str">
        <f t="shared" si="2"/>
        <v>Excellent</v>
      </c>
    </row>
    <row r="53" spans="1:10" ht="14.4" x14ac:dyDescent="0.3">
      <c r="A53" s="1" t="s">
        <v>604</v>
      </c>
      <c r="B53" s="1" t="str">
        <f t="shared" si="0"/>
        <v>Wrecking</v>
      </c>
      <c r="C53" s="1" t="s">
        <v>79</v>
      </c>
      <c r="D53" s="2">
        <v>4.9000000000000004</v>
      </c>
      <c r="E53" s="2">
        <v>9413</v>
      </c>
      <c r="F53" s="2">
        <v>8</v>
      </c>
      <c r="G53" s="2" t="str">
        <f t="shared" si="1"/>
        <v>Normal Price</v>
      </c>
      <c r="H53" s="2">
        <v>2019</v>
      </c>
      <c r="I53" s="1" t="s">
        <v>12</v>
      </c>
      <c r="J53" s="5" t="str">
        <f t="shared" si="2"/>
        <v>Excellent</v>
      </c>
    </row>
    <row r="54" spans="1:10" ht="13.2" x14ac:dyDescent="0.25">
      <c r="A54" s="3" t="s">
        <v>607</v>
      </c>
      <c r="B54" s="3" t="str">
        <f t="shared" si="0"/>
        <v>A</v>
      </c>
      <c r="C54" s="3" t="s">
        <v>608</v>
      </c>
      <c r="D54" s="3">
        <v>4.9000000000000004</v>
      </c>
      <c r="E54" s="3">
        <v>83212</v>
      </c>
      <c r="F54" s="3">
        <v>23</v>
      </c>
      <c r="G54" s="3" t="str">
        <f t="shared" si="1"/>
        <v>High Price</v>
      </c>
      <c r="H54" s="3">
        <v>2020</v>
      </c>
      <c r="I54" s="3" t="s">
        <v>9</v>
      </c>
      <c r="J54" s="5" t="str">
        <f t="shared" si="2"/>
        <v>Excellent</v>
      </c>
    </row>
    <row r="55" spans="1:10" ht="13.2" x14ac:dyDescent="0.25">
      <c r="A55" s="3" t="s">
        <v>621</v>
      </c>
      <c r="B55" s="3" t="str">
        <f t="shared" si="0"/>
        <v>Dog</v>
      </c>
      <c r="C55" s="3" t="s">
        <v>127</v>
      </c>
      <c r="D55" s="3">
        <v>4.9000000000000004</v>
      </c>
      <c r="E55" s="3">
        <v>31045</v>
      </c>
      <c r="F55" s="3">
        <v>6</v>
      </c>
      <c r="G55" s="3" t="str">
        <f t="shared" si="1"/>
        <v>Normal Price</v>
      </c>
      <c r="H55" s="3">
        <v>2020</v>
      </c>
      <c r="I55" s="3" t="s">
        <v>12</v>
      </c>
      <c r="J55" s="5" t="str">
        <f t="shared" si="2"/>
        <v>Excellent</v>
      </c>
    </row>
    <row r="56" spans="1:10" ht="13.2" x14ac:dyDescent="0.25">
      <c r="A56" s="3" t="s">
        <v>534</v>
      </c>
      <c r="B56" s="3" t="str">
        <f t="shared" si="0"/>
        <v>The</v>
      </c>
      <c r="C56" s="3" t="s">
        <v>535</v>
      </c>
      <c r="D56" s="3">
        <v>4.9000000000000004</v>
      </c>
      <c r="E56" s="3">
        <v>35965</v>
      </c>
      <c r="F56" s="3">
        <v>7</v>
      </c>
      <c r="G56" s="3" t="str">
        <f t="shared" si="1"/>
        <v>Normal Price</v>
      </c>
      <c r="H56" s="3">
        <v>2020</v>
      </c>
      <c r="I56" s="3" t="s">
        <v>9</v>
      </c>
      <c r="J56" s="5" t="str">
        <f t="shared" si="2"/>
        <v>Excellent</v>
      </c>
    </row>
    <row r="57" spans="1:10" ht="13.2" x14ac:dyDescent="0.25">
      <c r="A57" s="3" t="s">
        <v>634</v>
      </c>
      <c r="B57" s="3" t="str">
        <f t="shared" si="0"/>
        <v>The</v>
      </c>
      <c r="C57" s="3" t="s">
        <v>635</v>
      </c>
      <c r="D57" s="3">
        <v>4.9000000000000004</v>
      </c>
      <c r="E57" s="3">
        <v>53549</v>
      </c>
      <c r="F57" s="3">
        <v>15</v>
      </c>
      <c r="G57" s="3" t="str">
        <f t="shared" si="1"/>
        <v>High Price</v>
      </c>
      <c r="H57" s="3">
        <v>2020</v>
      </c>
      <c r="I57" s="3" t="s">
        <v>9</v>
      </c>
      <c r="J57" s="5" t="str">
        <f t="shared" si="2"/>
        <v>Excellent</v>
      </c>
    </row>
    <row r="58" spans="1:10" ht="13.2" x14ac:dyDescent="0.25">
      <c r="A58" s="3" t="s">
        <v>636</v>
      </c>
      <c r="B58" s="3" t="str">
        <f t="shared" si="0"/>
        <v>The</v>
      </c>
      <c r="C58" s="3" t="s">
        <v>79</v>
      </c>
      <c r="D58" s="3">
        <v>4.9000000000000004</v>
      </c>
      <c r="E58" s="3">
        <v>26047</v>
      </c>
      <c r="F58" s="3">
        <v>7</v>
      </c>
      <c r="G58" s="3" t="str">
        <f t="shared" si="1"/>
        <v>Normal Price</v>
      </c>
      <c r="H58" s="3">
        <v>2020</v>
      </c>
      <c r="I58" s="3" t="s">
        <v>12</v>
      </c>
      <c r="J58" s="5" t="str">
        <f t="shared" si="2"/>
        <v>Excellent</v>
      </c>
    </row>
    <row r="59" spans="1:10" ht="13.2" x14ac:dyDescent="0.25">
      <c r="A59" s="3" t="s">
        <v>639</v>
      </c>
      <c r="B59" s="3" t="str">
        <f t="shared" si="0"/>
        <v>I</v>
      </c>
      <c r="C59" s="3" t="s">
        <v>640</v>
      </c>
      <c r="D59" s="3">
        <v>4.9000000000000004</v>
      </c>
      <c r="E59" s="3">
        <v>24356</v>
      </c>
      <c r="F59" s="3">
        <v>1</v>
      </c>
      <c r="G59" s="3" t="str">
        <f t="shared" si="1"/>
        <v>Normal Price</v>
      </c>
      <c r="H59" s="3">
        <v>2020</v>
      </c>
      <c r="I59" s="3" t="s">
        <v>12</v>
      </c>
      <c r="J59" s="5" t="str">
        <f t="shared" si="2"/>
        <v>Excellent</v>
      </c>
    </row>
    <row r="60" spans="1:10" ht="13.2" x14ac:dyDescent="0.25">
      <c r="A60" s="3" t="s">
        <v>76</v>
      </c>
      <c r="B60" s="3" t="str">
        <f t="shared" si="0"/>
        <v>Brown</v>
      </c>
      <c r="C60" s="3" t="s">
        <v>646</v>
      </c>
      <c r="D60" s="3">
        <v>4.9000000000000004</v>
      </c>
      <c r="E60" s="3">
        <v>25321</v>
      </c>
      <c r="F60" s="3">
        <v>5</v>
      </c>
      <c r="G60" s="3" t="str">
        <f t="shared" si="1"/>
        <v>Normal Price</v>
      </c>
      <c r="H60" s="3">
        <v>2020</v>
      </c>
      <c r="I60" s="3" t="s">
        <v>12</v>
      </c>
      <c r="J60" s="5" t="str">
        <f t="shared" si="2"/>
        <v>Excellent</v>
      </c>
    </row>
    <row r="61" spans="1:10" ht="13.2" x14ac:dyDescent="0.25">
      <c r="A61" s="3" t="s">
        <v>647</v>
      </c>
      <c r="B61" s="3" t="str">
        <f t="shared" si="0"/>
        <v>Magnolia</v>
      </c>
      <c r="C61" s="3" t="s">
        <v>223</v>
      </c>
      <c r="D61" s="3">
        <v>4.9000000000000004</v>
      </c>
      <c r="E61" s="3">
        <v>16515</v>
      </c>
      <c r="F61" s="3">
        <v>17</v>
      </c>
      <c r="G61" s="3" t="str">
        <f t="shared" si="1"/>
        <v>High Price</v>
      </c>
      <c r="H61" s="3">
        <v>2020</v>
      </c>
      <c r="I61" s="3" t="s">
        <v>9</v>
      </c>
      <c r="J61" s="5" t="str">
        <f t="shared" si="2"/>
        <v>Excellent</v>
      </c>
    </row>
    <row r="62" spans="1:10" ht="13.2" x14ac:dyDescent="0.25">
      <c r="A62" s="3" t="s">
        <v>662</v>
      </c>
      <c r="B62" s="3" t="str">
        <f t="shared" si="0"/>
        <v>Chicka</v>
      </c>
      <c r="C62" s="3" t="s">
        <v>77</v>
      </c>
      <c r="D62" s="3">
        <v>4.9000000000000004</v>
      </c>
      <c r="E62" s="3">
        <v>20705</v>
      </c>
      <c r="F62" s="3">
        <v>4</v>
      </c>
      <c r="G62" s="3" t="str">
        <f t="shared" si="1"/>
        <v>Normal Price</v>
      </c>
      <c r="H62" s="3">
        <v>2020</v>
      </c>
      <c r="I62" s="4" t="s">
        <v>12</v>
      </c>
      <c r="J62" s="5" t="str">
        <f t="shared" si="2"/>
        <v>Excellent</v>
      </c>
    </row>
    <row r="63" spans="1:10" ht="14.4" x14ac:dyDescent="0.3">
      <c r="A63" s="1" t="s">
        <v>116</v>
      </c>
      <c r="B63" s="1" t="str">
        <f t="shared" si="0"/>
        <v>Diary</v>
      </c>
      <c r="C63" s="1" t="s">
        <v>79</v>
      </c>
      <c r="D63" s="2">
        <v>4.8</v>
      </c>
      <c r="E63" s="2">
        <v>3837</v>
      </c>
      <c r="F63" s="2">
        <v>15</v>
      </c>
      <c r="G63" s="2" t="str">
        <f t="shared" si="1"/>
        <v>High Price</v>
      </c>
      <c r="H63" s="2">
        <v>2009</v>
      </c>
      <c r="I63" s="1" t="s">
        <v>12</v>
      </c>
      <c r="J63" s="5" t="str">
        <f t="shared" si="2"/>
        <v>Excellent</v>
      </c>
    </row>
    <row r="64" spans="1:10" ht="14.4" x14ac:dyDescent="0.3">
      <c r="A64" s="1" t="s">
        <v>125</v>
      </c>
      <c r="B64" s="1" t="str">
        <f t="shared" si="0"/>
        <v>Dog</v>
      </c>
      <c r="C64" s="1" t="s">
        <v>79</v>
      </c>
      <c r="D64" s="2">
        <v>4.8</v>
      </c>
      <c r="E64" s="2">
        <v>3181</v>
      </c>
      <c r="F64" s="2">
        <v>12</v>
      </c>
      <c r="G64" s="2" t="str">
        <f t="shared" si="1"/>
        <v>High Price</v>
      </c>
      <c r="H64" s="2">
        <v>2009</v>
      </c>
      <c r="I64" s="1" t="s">
        <v>12</v>
      </c>
      <c r="J64" s="5" t="str">
        <f t="shared" si="2"/>
        <v>Excellent</v>
      </c>
    </row>
    <row r="65" spans="1:10" ht="14.4" x14ac:dyDescent="0.3">
      <c r="A65" s="1" t="s">
        <v>216</v>
      </c>
      <c r="B65" s="1" t="str">
        <f t="shared" si="0"/>
        <v>Have</v>
      </c>
      <c r="C65" s="1" t="s">
        <v>217</v>
      </c>
      <c r="D65" s="2">
        <v>4.8</v>
      </c>
      <c r="E65" s="2">
        <v>1930</v>
      </c>
      <c r="F65" s="2">
        <v>4</v>
      </c>
      <c r="G65" s="2" t="str">
        <f t="shared" si="1"/>
        <v>Normal Price</v>
      </c>
      <c r="H65" s="2">
        <v>2009</v>
      </c>
      <c r="I65" s="1" t="s">
        <v>9</v>
      </c>
      <c r="J65" s="5" t="str">
        <f t="shared" si="2"/>
        <v>Excellent</v>
      </c>
    </row>
    <row r="66" spans="1:10" ht="14.4" x14ac:dyDescent="0.3">
      <c r="A66" s="1" t="s">
        <v>277</v>
      </c>
      <c r="B66" s="1" t="str">
        <f t="shared" ref="B66:B129" si="3">LEFT(A66,FIND(" ",A66&amp;" ")-1)</f>
        <v>Liberty</v>
      </c>
      <c r="C66" s="1" t="s">
        <v>278</v>
      </c>
      <c r="D66" s="2">
        <v>4.8</v>
      </c>
      <c r="E66" s="2">
        <v>3828</v>
      </c>
      <c r="F66" s="2">
        <v>15</v>
      </c>
      <c r="G66" s="2" t="str">
        <f t="shared" ref="G66:G129" si="4">IF(F66&gt;10,"High Price","Normal Price")</f>
        <v>High Price</v>
      </c>
      <c r="H66" s="2">
        <v>2009</v>
      </c>
      <c r="I66" s="1" t="s">
        <v>9</v>
      </c>
      <c r="J66" s="5" t="str">
        <f t="shared" ref="J66:J129" si="5">IF(D66&gt;=4.5,"Excellent",IF(D66&gt;=4,"Good","Average"))</f>
        <v>Excellent</v>
      </c>
    </row>
    <row r="67" spans="1:10" ht="14.4" x14ac:dyDescent="0.3">
      <c r="A67" s="1" t="s">
        <v>297</v>
      </c>
      <c r="B67" s="1" t="str">
        <f t="shared" si="3"/>
        <v>Mastering</v>
      </c>
      <c r="C67" s="1" t="s">
        <v>298</v>
      </c>
      <c r="D67" s="2">
        <v>4.8</v>
      </c>
      <c r="E67" s="2">
        <v>2926</v>
      </c>
      <c r="F67" s="2">
        <v>27</v>
      </c>
      <c r="G67" s="2" t="str">
        <f t="shared" si="4"/>
        <v>High Price</v>
      </c>
      <c r="H67" s="2">
        <v>2009</v>
      </c>
      <c r="I67" s="1" t="s">
        <v>9</v>
      </c>
      <c r="J67" s="5" t="str">
        <f t="shared" si="5"/>
        <v>Excellent</v>
      </c>
    </row>
    <row r="68" spans="1:10" ht="14.4" x14ac:dyDescent="0.3">
      <c r="A68" s="1" t="s">
        <v>386</v>
      </c>
      <c r="B68" s="1" t="str">
        <f t="shared" si="3"/>
        <v>The</v>
      </c>
      <c r="C68" s="1" t="s">
        <v>387</v>
      </c>
      <c r="D68" s="2">
        <v>4.8</v>
      </c>
      <c r="E68" s="2">
        <v>1680</v>
      </c>
      <c r="F68" s="2">
        <v>12</v>
      </c>
      <c r="G68" s="2" t="str">
        <f t="shared" si="4"/>
        <v>High Price</v>
      </c>
      <c r="H68" s="2">
        <v>2009</v>
      </c>
      <c r="I68" s="1" t="s">
        <v>9</v>
      </c>
      <c r="J68" s="5" t="str">
        <f t="shared" si="5"/>
        <v>Excellent</v>
      </c>
    </row>
    <row r="69" spans="1:10" ht="14.4" x14ac:dyDescent="0.3">
      <c r="A69" s="1" t="s">
        <v>456</v>
      </c>
      <c r="B69" s="1" t="str">
        <f t="shared" si="3"/>
        <v>The</v>
      </c>
      <c r="C69" s="1" t="s">
        <v>457</v>
      </c>
      <c r="D69" s="2">
        <v>4.8</v>
      </c>
      <c r="E69" s="2">
        <v>13871</v>
      </c>
      <c r="F69" s="2">
        <v>6</v>
      </c>
      <c r="G69" s="2" t="str">
        <f t="shared" si="4"/>
        <v>Normal Price</v>
      </c>
      <c r="H69" s="2">
        <v>2009</v>
      </c>
      <c r="I69" s="1" t="s">
        <v>12</v>
      </c>
      <c r="J69" s="5" t="str">
        <f t="shared" si="5"/>
        <v>Excellent</v>
      </c>
    </row>
    <row r="70" spans="1:10" ht="14.4" x14ac:dyDescent="0.3">
      <c r="A70" s="1" t="s">
        <v>468</v>
      </c>
      <c r="B70" s="1" t="str">
        <f t="shared" si="3"/>
        <v>The</v>
      </c>
      <c r="C70" s="1" t="s">
        <v>332</v>
      </c>
      <c r="D70" s="2">
        <v>4.8</v>
      </c>
      <c r="E70" s="2">
        <v>4628</v>
      </c>
      <c r="F70" s="2">
        <v>7</v>
      </c>
      <c r="G70" s="2" t="str">
        <f t="shared" si="4"/>
        <v>Normal Price</v>
      </c>
      <c r="H70" s="2">
        <v>2009</v>
      </c>
      <c r="I70" s="1" t="s">
        <v>12</v>
      </c>
      <c r="J70" s="5" t="str">
        <f t="shared" si="5"/>
        <v>Excellent</v>
      </c>
    </row>
    <row r="71" spans="1:10" ht="14.4" x14ac:dyDescent="0.3">
      <c r="A71" s="1" t="s">
        <v>478</v>
      </c>
      <c r="B71" s="1" t="str">
        <f t="shared" si="3"/>
        <v>The</v>
      </c>
      <c r="C71" s="1" t="s">
        <v>479</v>
      </c>
      <c r="D71" s="2">
        <v>4.8</v>
      </c>
      <c r="E71" s="2">
        <v>1655</v>
      </c>
      <c r="F71" s="2">
        <v>13</v>
      </c>
      <c r="G71" s="2" t="str">
        <f t="shared" si="4"/>
        <v>High Price</v>
      </c>
      <c r="H71" s="2">
        <v>2009</v>
      </c>
      <c r="I71" s="1" t="s">
        <v>9</v>
      </c>
      <c r="J71" s="5" t="str">
        <f t="shared" si="5"/>
        <v>Excellent</v>
      </c>
    </row>
    <row r="72" spans="1:10" ht="14.4" x14ac:dyDescent="0.3">
      <c r="A72" s="1" t="s">
        <v>573</v>
      </c>
      <c r="B72" s="1" t="str">
        <f t="shared" si="3"/>
        <v>Watchmen</v>
      </c>
      <c r="C72" s="1" t="s">
        <v>574</v>
      </c>
      <c r="D72" s="2">
        <v>4.8</v>
      </c>
      <c r="E72" s="2">
        <v>3829</v>
      </c>
      <c r="F72" s="2">
        <v>42</v>
      </c>
      <c r="G72" s="2" t="str">
        <f t="shared" si="4"/>
        <v>High Price</v>
      </c>
      <c r="H72" s="2">
        <v>2009</v>
      </c>
      <c r="I72" s="1" t="s">
        <v>12</v>
      </c>
      <c r="J72" s="5" t="str">
        <f t="shared" si="5"/>
        <v>Excellent</v>
      </c>
    </row>
    <row r="73" spans="1:10" ht="14.4" x14ac:dyDescent="0.3">
      <c r="A73" s="1" t="s">
        <v>592</v>
      </c>
      <c r="B73" s="1" t="str">
        <f t="shared" si="3"/>
        <v>Where</v>
      </c>
      <c r="C73" s="1" t="s">
        <v>593</v>
      </c>
      <c r="D73" s="2">
        <v>4.8</v>
      </c>
      <c r="E73" s="2">
        <v>9967</v>
      </c>
      <c r="F73" s="2">
        <v>13</v>
      </c>
      <c r="G73" s="2" t="str">
        <f t="shared" si="4"/>
        <v>High Price</v>
      </c>
      <c r="H73" s="2">
        <v>2009</v>
      </c>
      <c r="I73" s="1" t="s">
        <v>12</v>
      </c>
      <c r="J73" s="5" t="str">
        <f t="shared" si="5"/>
        <v>Excellent</v>
      </c>
    </row>
    <row r="74" spans="1:10" ht="14.4" x14ac:dyDescent="0.3">
      <c r="A74" s="1" t="s">
        <v>331</v>
      </c>
      <c r="B74" s="1" t="str">
        <f t="shared" si="3"/>
        <v>Percy</v>
      </c>
      <c r="C74" s="1" t="s">
        <v>332</v>
      </c>
      <c r="D74" s="2">
        <v>4.8</v>
      </c>
      <c r="E74" s="2">
        <v>548</v>
      </c>
      <c r="F74" s="2">
        <v>2</v>
      </c>
      <c r="G74" s="2" t="str">
        <f t="shared" si="4"/>
        <v>Normal Price</v>
      </c>
      <c r="H74" s="2">
        <v>2010</v>
      </c>
      <c r="I74" s="1" t="s">
        <v>12</v>
      </c>
      <c r="J74" s="5" t="str">
        <f t="shared" si="5"/>
        <v>Excellent</v>
      </c>
    </row>
    <row r="75" spans="1:10" ht="14.4" x14ac:dyDescent="0.3">
      <c r="A75" s="1" t="s">
        <v>456</v>
      </c>
      <c r="B75" s="1" t="str">
        <f t="shared" si="3"/>
        <v>The</v>
      </c>
      <c r="C75" s="1" t="s">
        <v>457</v>
      </c>
      <c r="D75" s="2">
        <v>4.8</v>
      </c>
      <c r="E75" s="2">
        <v>13871</v>
      </c>
      <c r="F75" s="2">
        <v>6</v>
      </c>
      <c r="G75" s="2" t="str">
        <f t="shared" si="4"/>
        <v>Normal Price</v>
      </c>
      <c r="H75" s="2">
        <v>2010</v>
      </c>
      <c r="I75" s="1" t="s">
        <v>12</v>
      </c>
      <c r="J75" s="5" t="str">
        <f t="shared" si="5"/>
        <v>Excellent</v>
      </c>
    </row>
    <row r="76" spans="1:10" ht="14.4" x14ac:dyDescent="0.3">
      <c r="A76" s="1" t="s">
        <v>468</v>
      </c>
      <c r="B76" s="1" t="str">
        <f t="shared" si="3"/>
        <v>The</v>
      </c>
      <c r="C76" s="1" t="s">
        <v>332</v>
      </c>
      <c r="D76" s="2">
        <v>4.8</v>
      </c>
      <c r="E76" s="2">
        <v>4628</v>
      </c>
      <c r="F76" s="2">
        <v>7</v>
      </c>
      <c r="G76" s="2" t="str">
        <f t="shared" si="4"/>
        <v>Normal Price</v>
      </c>
      <c r="H76" s="2">
        <v>2010</v>
      </c>
      <c r="I76" s="1" t="s">
        <v>12</v>
      </c>
      <c r="J76" s="5" t="str">
        <f t="shared" si="5"/>
        <v>Excellent</v>
      </c>
    </row>
    <row r="77" spans="1:10" ht="14.4" x14ac:dyDescent="0.3">
      <c r="A77" s="1" t="s">
        <v>476</v>
      </c>
      <c r="B77" s="1" t="str">
        <f t="shared" si="3"/>
        <v>The</v>
      </c>
      <c r="C77" s="1" t="s">
        <v>332</v>
      </c>
      <c r="D77" s="2">
        <v>4.8</v>
      </c>
      <c r="E77" s="2">
        <v>4506</v>
      </c>
      <c r="F77" s="2">
        <v>14</v>
      </c>
      <c r="G77" s="2" t="str">
        <f t="shared" si="4"/>
        <v>High Price</v>
      </c>
      <c r="H77" s="2">
        <v>2010</v>
      </c>
      <c r="I77" s="1" t="s">
        <v>12</v>
      </c>
      <c r="J77" s="5" t="str">
        <f t="shared" si="5"/>
        <v>Excellent</v>
      </c>
    </row>
    <row r="78" spans="1:10" ht="14.4" x14ac:dyDescent="0.3">
      <c r="A78" s="1" t="s">
        <v>531</v>
      </c>
      <c r="B78" s="1" t="str">
        <f t="shared" si="3"/>
        <v>The</v>
      </c>
      <c r="C78" s="1" t="s">
        <v>79</v>
      </c>
      <c r="D78" s="2">
        <v>4.8</v>
      </c>
      <c r="E78" s="2">
        <v>3796</v>
      </c>
      <c r="F78" s="2">
        <v>12</v>
      </c>
      <c r="G78" s="2" t="str">
        <f t="shared" si="4"/>
        <v>High Price</v>
      </c>
      <c r="H78" s="2">
        <v>2010</v>
      </c>
      <c r="I78" s="1" t="s">
        <v>12</v>
      </c>
      <c r="J78" s="5" t="str">
        <f t="shared" si="5"/>
        <v>Excellent</v>
      </c>
    </row>
    <row r="79" spans="1:10" ht="14.4" x14ac:dyDescent="0.3">
      <c r="A79" s="1" t="s">
        <v>560</v>
      </c>
      <c r="B79" s="1" t="str">
        <f t="shared" si="3"/>
        <v>Towers</v>
      </c>
      <c r="C79" s="1" t="s">
        <v>561</v>
      </c>
      <c r="D79" s="2">
        <v>4.8</v>
      </c>
      <c r="E79" s="2">
        <v>2282</v>
      </c>
      <c r="F79" s="2">
        <v>21</v>
      </c>
      <c r="G79" s="2" t="str">
        <f t="shared" si="4"/>
        <v>High Price</v>
      </c>
      <c r="H79" s="2">
        <v>2010</v>
      </c>
      <c r="I79" s="1" t="s">
        <v>12</v>
      </c>
      <c r="J79" s="5" t="str">
        <f t="shared" si="5"/>
        <v>Excellent</v>
      </c>
    </row>
    <row r="80" spans="1:10" ht="14.4" x14ac:dyDescent="0.3">
      <c r="A80" s="1" t="s">
        <v>566</v>
      </c>
      <c r="B80" s="1" t="str">
        <f t="shared" si="3"/>
        <v>Unbroken:</v>
      </c>
      <c r="C80" s="1" t="s">
        <v>567</v>
      </c>
      <c r="D80" s="2">
        <v>4.8</v>
      </c>
      <c r="E80" s="2">
        <v>29673</v>
      </c>
      <c r="F80" s="2">
        <v>16</v>
      </c>
      <c r="G80" s="2" t="str">
        <f t="shared" si="4"/>
        <v>High Price</v>
      </c>
      <c r="H80" s="2">
        <v>2010</v>
      </c>
      <c r="I80" s="1" t="s">
        <v>9</v>
      </c>
      <c r="J80" s="5" t="str">
        <f t="shared" si="5"/>
        <v>Excellent</v>
      </c>
    </row>
    <row r="81" spans="1:10" ht="14.4" x14ac:dyDescent="0.3">
      <c r="A81" s="1" t="s">
        <v>78</v>
      </c>
      <c r="B81" s="1" t="str">
        <f t="shared" si="3"/>
        <v>Cabin</v>
      </c>
      <c r="C81" s="1" t="s">
        <v>79</v>
      </c>
      <c r="D81" s="2">
        <v>4.8</v>
      </c>
      <c r="E81" s="2">
        <v>4505</v>
      </c>
      <c r="F81" s="2">
        <v>0</v>
      </c>
      <c r="G81" s="2" t="str">
        <f t="shared" si="4"/>
        <v>Normal Price</v>
      </c>
      <c r="H81" s="2">
        <v>2011</v>
      </c>
      <c r="I81" s="1" t="s">
        <v>12</v>
      </c>
      <c r="J81" s="5" t="str">
        <f t="shared" si="5"/>
        <v>Excellent</v>
      </c>
    </row>
    <row r="82" spans="1:10" ht="14.4" x14ac:dyDescent="0.3">
      <c r="A82" s="1" t="s">
        <v>184</v>
      </c>
      <c r="B82" s="1" t="str">
        <f t="shared" si="3"/>
        <v>Go</v>
      </c>
      <c r="C82" s="1" t="s">
        <v>185</v>
      </c>
      <c r="D82" s="2">
        <v>4.8</v>
      </c>
      <c r="E82" s="2">
        <v>9568</v>
      </c>
      <c r="F82" s="2">
        <v>9</v>
      </c>
      <c r="G82" s="2" t="str">
        <f t="shared" si="4"/>
        <v>Normal Price</v>
      </c>
      <c r="H82" s="2">
        <v>2011</v>
      </c>
      <c r="I82" s="1" t="s">
        <v>12</v>
      </c>
      <c r="J82" s="5" t="str">
        <f t="shared" si="5"/>
        <v>Excellent</v>
      </c>
    </row>
    <row r="83" spans="1:10" ht="14.4" x14ac:dyDescent="0.3">
      <c r="A83" s="1" t="s">
        <v>456</v>
      </c>
      <c r="B83" s="1" t="str">
        <f t="shared" si="3"/>
        <v>The</v>
      </c>
      <c r="C83" s="1" t="s">
        <v>457</v>
      </c>
      <c r="D83" s="2">
        <v>4.8</v>
      </c>
      <c r="E83" s="2">
        <v>13871</v>
      </c>
      <c r="F83" s="2">
        <v>8</v>
      </c>
      <c r="G83" s="2" t="str">
        <f t="shared" si="4"/>
        <v>Normal Price</v>
      </c>
      <c r="H83" s="2">
        <v>2011</v>
      </c>
      <c r="I83" s="1" t="s">
        <v>12</v>
      </c>
      <c r="J83" s="5" t="str">
        <f t="shared" si="5"/>
        <v>Excellent</v>
      </c>
    </row>
    <row r="84" spans="1:10" ht="14.4" x14ac:dyDescent="0.3">
      <c r="A84" s="1" t="s">
        <v>456</v>
      </c>
      <c r="B84" s="1" t="str">
        <f t="shared" si="3"/>
        <v>The</v>
      </c>
      <c r="C84" s="1" t="s">
        <v>457</v>
      </c>
      <c r="D84" s="2">
        <v>4.8</v>
      </c>
      <c r="E84" s="2">
        <v>13871</v>
      </c>
      <c r="F84" s="2">
        <v>7</v>
      </c>
      <c r="G84" s="2" t="str">
        <f t="shared" si="4"/>
        <v>Normal Price</v>
      </c>
      <c r="H84" s="2">
        <v>2011</v>
      </c>
      <c r="I84" s="1" t="s">
        <v>12</v>
      </c>
      <c r="J84" s="5" t="str">
        <f t="shared" si="5"/>
        <v>Excellent</v>
      </c>
    </row>
    <row r="85" spans="1:10" ht="14.4" x14ac:dyDescent="0.3">
      <c r="A85" s="1" t="s">
        <v>461</v>
      </c>
      <c r="B85" s="1" t="str">
        <f t="shared" si="3"/>
        <v>The</v>
      </c>
      <c r="C85" s="1" t="s">
        <v>87</v>
      </c>
      <c r="D85" s="2">
        <v>4.8</v>
      </c>
      <c r="E85" s="2">
        <v>16949</v>
      </c>
      <c r="F85" s="2">
        <v>30</v>
      </c>
      <c r="G85" s="2" t="str">
        <f t="shared" si="4"/>
        <v>High Price</v>
      </c>
      <c r="H85" s="2">
        <v>2011</v>
      </c>
      <c r="I85" s="1" t="s">
        <v>12</v>
      </c>
      <c r="J85" s="5" t="str">
        <f t="shared" si="5"/>
        <v>Excellent</v>
      </c>
    </row>
    <row r="86" spans="1:10" ht="14.4" x14ac:dyDescent="0.3">
      <c r="A86" s="1" t="s">
        <v>519</v>
      </c>
      <c r="B86" s="1" t="str">
        <f t="shared" si="3"/>
        <v>The</v>
      </c>
      <c r="C86" s="1" t="s">
        <v>332</v>
      </c>
      <c r="D86" s="2">
        <v>4.8</v>
      </c>
      <c r="E86" s="2">
        <v>4290</v>
      </c>
      <c r="F86" s="2">
        <v>10</v>
      </c>
      <c r="G86" s="2" t="str">
        <f t="shared" si="4"/>
        <v>Normal Price</v>
      </c>
      <c r="H86" s="2">
        <v>2011</v>
      </c>
      <c r="I86" s="1" t="s">
        <v>12</v>
      </c>
      <c r="J86" s="5" t="str">
        <f t="shared" si="5"/>
        <v>Excellent</v>
      </c>
    </row>
    <row r="87" spans="1:10" ht="14.4" x14ac:dyDescent="0.3">
      <c r="A87" s="1" t="s">
        <v>566</v>
      </c>
      <c r="B87" s="1" t="str">
        <f t="shared" si="3"/>
        <v>Unbroken:</v>
      </c>
      <c r="C87" s="1" t="s">
        <v>567</v>
      </c>
      <c r="D87" s="2">
        <v>4.8</v>
      </c>
      <c r="E87" s="2">
        <v>29673</v>
      </c>
      <c r="F87" s="2">
        <v>16</v>
      </c>
      <c r="G87" s="2" t="str">
        <f t="shared" si="4"/>
        <v>High Price</v>
      </c>
      <c r="H87" s="2">
        <v>2011</v>
      </c>
      <c r="I87" s="1" t="s">
        <v>9</v>
      </c>
      <c r="J87" s="5" t="str">
        <f t="shared" si="5"/>
        <v>Excellent</v>
      </c>
    </row>
    <row r="88" spans="1:10" ht="14.4" x14ac:dyDescent="0.3">
      <c r="A88" s="1" t="s">
        <v>62</v>
      </c>
      <c r="B88" s="1" t="str">
        <f t="shared" si="3"/>
        <v>Barefoot</v>
      </c>
      <c r="C88" s="1" t="s">
        <v>63</v>
      </c>
      <c r="D88" s="2">
        <v>4.8</v>
      </c>
      <c r="E88" s="2">
        <v>1296</v>
      </c>
      <c r="F88" s="2">
        <v>24</v>
      </c>
      <c r="G88" s="2" t="str">
        <f t="shared" si="4"/>
        <v>High Price</v>
      </c>
      <c r="H88" s="2">
        <v>2012</v>
      </c>
      <c r="I88" s="1" t="s">
        <v>9</v>
      </c>
      <c r="J88" s="5" t="str">
        <f t="shared" si="5"/>
        <v>Excellent</v>
      </c>
    </row>
    <row r="89" spans="1:10" ht="14.4" x14ac:dyDescent="0.3">
      <c r="A89" s="1" t="s">
        <v>461</v>
      </c>
      <c r="B89" s="1" t="str">
        <f t="shared" si="3"/>
        <v>The</v>
      </c>
      <c r="C89" s="1" t="s">
        <v>87</v>
      </c>
      <c r="D89" s="2">
        <v>4.8</v>
      </c>
      <c r="E89" s="2">
        <v>16949</v>
      </c>
      <c r="F89" s="2">
        <v>30</v>
      </c>
      <c r="G89" s="2" t="str">
        <f t="shared" si="4"/>
        <v>High Price</v>
      </c>
      <c r="H89" s="2">
        <v>2012</v>
      </c>
      <c r="I89" s="1" t="s">
        <v>12</v>
      </c>
      <c r="J89" s="5" t="str">
        <f t="shared" si="5"/>
        <v>Excellent</v>
      </c>
    </row>
    <row r="90" spans="1:10" ht="14.4" x14ac:dyDescent="0.3">
      <c r="A90" s="1" t="s">
        <v>482</v>
      </c>
      <c r="B90" s="1" t="str">
        <f t="shared" si="3"/>
        <v>The</v>
      </c>
      <c r="C90" s="1" t="s">
        <v>332</v>
      </c>
      <c r="D90" s="2">
        <v>4.8</v>
      </c>
      <c r="E90" s="2">
        <v>6247</v>
      </c>
      <c r="F90" s="2">
        <v>10</v>
      </c>
      <c r="G90" s="2" t="str">
        <f t="shared" si="4"/>
        <v>Normal Price</v>
      </c>
      <c r="H90" s="2">
        <v>2012</v>
      </c>
      <c r="I90" s="1" t="s">
        <v>12</v>
      </c>
      <c r="J90" s="5" t="str">
        <f t="shared" si="5"/>
        <v>Excellent</v>
      </c>
    </row>
    <row r="91" spans="1:10" ht="14.4" x14ac:dyDescent="0.3">
      <c r="A91" s="1" t="s">
        <v>500</v>
      </c>
      <c r="B91" s="1" t="str">
        <f t="shared" si="3"/>
        <v>The</v>
      </c>
      <c r="C91" s="1" t="s">
        <v>498</v>
      </c>
      <c r="D91" s="2">
        <v>4.8</v>
      </c>
      <c r="E91" s="2">
        <v>2876</v>
      </c>
      <c r="F91" s="2">
        <v>21</v>
      </c>
      <c r="G91" s="2" t="str">
        <f t="shared" si="4"/>
        <v>High Price</v>
      </c>
      <c r="H91" s="2">
        <v>2012</v>
      </c>
      <c r="I91" s="1" t="s">
        <v>9</v>
      </c>
      <c r="J91" s="5" t="str">
        <f t="shared" si="5"/>
        <v>Excellent</v>
      </c>
    </row>
    <row r="92" spans="1:10" ht="14.4" x14ac:dyDescent="0.3">
      <c r="A92" s="1" t="s">
        <v>513</v>
      </c>
      <c r="B92" s="1" t="str">
        <f t="shared" si="3"/>
        <v>The</v>
      </c>
      <c r="C92" s="1" t="s">
        <v>332</v>
      </c>
      <c r="D92" s="2">
        <v>4.8</v>
      </c>
      <c r="E92" s="2">
        <v>2091</v>
      </c>
      <c r="F92" s="2">
        <v>12</v>
      </c>
      <c r="G92" s="2" t="str">
        <f t="shared" si="4"/>
        <v>High Price</v>
      </c>
      <c r="H92" s="2">
        <v>2012</v>
      </c>
      <c r="I92" s="1" t="s">
        <v>12</v>
      </c>
      <c r="J92" s="5" t="str">
        <f t="shared" si="5"/>
        <v>Excellent</v>
      </c>
    </row>
    <row r="93" spans="1:10" ht="14.4" x14ac:dyDescent="0.3">
      <c r="A93" s="1" t="s">
        <v>566</v>
      </c>
      <c r="B93" s="1" t="str">
        <f t="shared" si="3"/>
        <v>Unbroken:</v>
      </c>
      <c r="C93" s="1" t="s">
        <v>567</v>
      </c>
      <c r="D93" s="2">
        <v>4.8</v>
      </c>
      <c r="E93" s="2">
        <v>29673</v>
      </c>
      <c r="F93" s="2">
        <v>16</v>
      </c>
      <c r="G93" s="2" t="str">
        <f t="shared" si="4"/>
        <v>High Price</v>
      </c>
      <c r="H93" s="2">
        <v>2012</v>
      </c>
      <c r="I93" s="1" t="s">
        <v>9</v>
      </c>
      <c r="J93" s="5" t="str">
        <f t="shared" si="5"/>
        <v>Excellent</v>
      </c>
    </row>
    <row r="94" spans="1:10" ht="14.4" x14ac:dyDescent="0.3">
      <c r="A94" s="1" t="s">
        <v>99</v>
      </c>
      <c r="B94" s="1" t="str">
        <f t="shared" si="3"/>
        <v>Daring</v>
      </c>
      <c r="C94" s="1" t="s">
        <v>100</v>
      </c>
      <c r="D94" s="2">
        <v>4.8</v>
      </c>
      <c r="E94" s="2">
        <v>1329</v>
      </c>
      <c r="F94" s="2">
        <v>10</v>
      </c>
      <c r="G94" s="2" t="str">
        <f t="shared" si="4"/>
        <v>Normal Price</v>
      </c>
      <c r="H94" s="2">
        <v>2013</v>
      </c>
      <c r="I94" s="1" t="s">
        <v>9</v>
      </c>
      <c r="J94" s="5" t="str">
        <f t="shared" si="5"/>
        <v>Excellent</v>
      </c>
    </row>
    <row r="95" spans="1:10" ht="14.4" x14ac:dyDescent="0.3">
      <c r="A95" s="1" t="s">
        <v>115</v>
      </c>
      <c r="B95" s="1" t="str">
        <f t="shared" si="3"/>
        <v>Diary</v>
      </c>
      <c r="C95" s="1" t="s">
        <v>79</v>
      </c>
      <c r="D95" s="2">
        <v>4.8</v>
      </c>
      <c r="E95" s="2">
        <v>6812</v>
      </c>
      <c r="F95" s="2">
        <v>0</v>
      </c>
      <c r="G95" s="2" t="str">
        <f t="shared" si="4"/>
        <v>Normal Price</v>
      </c>
      <c r="H95" s="2">
        <v>2013</v>
      </c>
      <c r="I95" s="1" t="s">
        <v>12</v>
      </c>
      <c r="J95" s="5" t="str">
        <f t="shared" si="5"/>
        <v>Excellent</v>
      </c>
    </row>
    <row r="96" spans="1:10" ht="14.4" x14ac:dyDescent="0.3">
      <c r="A96" s="1" t="s">
        <v>205</v>
      </c>
      <c r="B96" s="1" t="str">
        <f t="shared" si="3"/>
        <v>Happy,</v>
      </c>
      <c r="C96" s="1" t="s">
        <v>206</v>
      </c>
      <c r="D96" s="2">
        <v>4.8</v>
      </c>
      <c r="E96" s="2">
        <v>4148</v>
      </c>
      <c r="F96" s="2">
        <v>11</v>
      </c>
      <c r="G96" s="2" t="str">
        <f t="shared" si="4"/>
        <v>High Price</v>
      </c>
      <c r="H96" s="2">
        <v>2013</v>
      </c>
      <c r="I96" s="1" t="s">
        <v>9</v>
      </c>
      <c r="J96" s="5" t="str">
        <f t="shared" si="5"/>
        <v>Excellent</v>
      </c>
    </row>
    <row r="97" spans="1:10" ht="14.4" x14ac:dyDescent="0.3">
      <c r="A97" s="1" t="s">
        <v>228</v>
      </c>
      <c r="B97" s="1" t="str">
        <f t="shared" si="3"/>
        <v>Humans</v>
      </c>
      <c r="C97" s="1" t="s">
        <v>229</v>
      </c>
      <c r="D97" s="2">
        <v>4.8</v>
      </c>
      <c r="E97" s="2">
        <v>3490</v>
      </c>
      <c r="F97" s="2">
        <v>15</v>
      </c>
      <c r="G97" s="2" t="str">
        <f t="shared" si="4"/>
        <v>High Price</v>
      </c>
      <c r="H97" s="2">
        <v>2013</v>
      </c>
      <c r="I97" s="1" t="s">
        <v>9</v>
      </c>
      <c r="J97" s="5" t="str">
        <f t="shared" si="5"/>
        <v>Excellent</v>
      </c>
    </row>
    <row r="98" spans="1:10" ht="14.4" x14ac:dyDescent="0.3">
      <c r="A98" s="1" t="s">
        <v>421</v>
      </c>
      <c r="B98" s="1" t="str">
        <f t="shared" si="3"/>
        <v>The</v>
      </c>
      <c r="C98" s="1" t="s">
        <v>422</v>
      </c>
      <c r="D98" s="2">
        <v>4.8</v>
      </c>
      <c r="E98" s="2">
        <v>8922</v>
      </c>
      <c r="F98" s="2">
        <v>9</v>
      </c>
      <c r="G98" s="2" t="str">
        <f t="shared" si="4"/>
        <v>Normal Price</v>
      </c>
      <c r="H98" s="2">
        <v>2013</v>
      </c>
      <c r="I98" s="1" t="s">
        <v>12</v>
      </c>
      <c r="J98" s="5" t="str">
        <f t="shared" si="5"/>
        <v>Excellent</v>
      </c>
    </row>
    <row r="99" spans="1:10" ht="14.4" x14ac:dyDescent="0.3">
      <c r="A99" s="1" t="s">
        <v>458</v>
      </c>
      <c r="B99" s="1" t="str">
        <f t="shared" si="3"/>
        <v>The</v>
      </c>
      <c r="C99" s="1" t="s">
        <v>332</v>
      </c>
      <c r="D99" s="2">
        <v>4.8</v>
      </c>
      <c r="E99" s="2">
        <v>6982</v>
      </c>
      <c r="F99" s="2">
        <v>14</v>
      </c>
      <c r="G99" s="2" t="str">
        <f t="shared" si="4"/>
        <v>High Price</v>
      </c>
      <c r="H99" s="2">
        <v>2013</v>
      </c>
      <c r="I99" s="1" t="s">
        <v>12</v>
      </c>
      <c r="J99" s="5" t="str">
        <f t="shared" si="5"/>
        <v>Excellent</v>
      </c>
    </row>
    <row r="100" spans="1:10" ht="14.4" x14ac:dyDescent="0.3">
      <c r="A100" s="1" t="s">
        <v>497</v>
      </c>
      <c r="B100" s="1" t="str">
        <f t="shared" si="3"/>
        <v>The</v>
      </c>
      <c r="C100" s="1" t="s">
        <v>498</v>
      </c>
      <c r="D100" s="2">
        <v>4.8</v>
      </c>
      <c r="E100" s="2">
        <v>2663</v>
      </c>
      <c r="F100" s="2">
        <v>17</v>
      </c>
      <c r="G100" s="2" t="str">
        <f t="shared" si="4"/>
        <v>High Price</v>
      </c>
      <c r="H100" s="2">
        <v>2013</v>
      </c>
      <c r="I100" s="1" t="s">
        <v>9</v>
      </c>
      <c r="J100" s="5" t="str">
        <f t="shared" si="5"/>
        <v>Excellent</v>
      </c>
    </row>
    <row r="101" spans="1:10" ht="14.4" x14ac:dyDescent="0.3">
      <c r="A101" s="1" t="s">
        <v>558</v>
      </c>
      <c r="B101" s="1" t="str">
        <f t="shared" si="3"/>
        <v>To</v>
      </c>
      <c r="C101" s="1" t="s">
        <v>183</v>
      </c>
      <c r="D101" s="2">
        <v>4.8</v>
      </c>
      <c r="E101" s="2">
        <v>26234</v>
      </c>
      <c r="F101" s="2">
        <v>0</v>
      </c>
      <c r="G101" s="2" t="str">
        <f t="shared" si="4"/>
        <v>Normal Price</v>
      </c>
      <c r="H101" s="2">
        <v>2013</v>
      </c>
      <c r="I101" s="1" t="s">
        <v>12</v>
      </c>
      <c r="J101" s="5" t="str">
        <f t="shared" si="5"/>
        <v>Excellent</v>
      </c>
    </row>
    <row r="102" spans="1:10" ht="14.4" x14ac:dyDescent="0.3">
      <c r="A102" s="1" t="s">
        <v>602</v>
      </c>
      <c r="B102" s="1" t="str">
        <f t="shared" si="3"/>
        <v>Wonder</v>
      </c>
      <c r="C102" s="1" t="s">
        <v>603</v>
      </c>
      <c r="D102" s="2">
        <v>4.8</v>
      </c>
      <c r="E102" s="2">
        <v>21625</v>
      </c>
      <c r="F102" s="2">
        <v>9</v>
      </c>
      <c r="G102" s="2" t="str">
        <f t="shared" si="4"/>
        <v>Normal Price</v>
      </c>
      <c r="H102" s="2">
        <v>2013</v>
      </c>
      <c r="I102" s="1" t="s">
        <v>12</v>
      </c>
      <c r="J102" s="5" t="str">
        <f t="shared" si="5"/>
        <v>Excellent</v>
      </c>
    </row>
    <row r="103" spans="1:10" ht="14.4" x14ac:dyDescent="0.3">
      <c r="A103" s="1" t="s">
        <v>117</v>
      </c>
      <c r="B103" s="1" t="str">
        <f t="shared" si="3"/>
        <v>Diary</v>
      </c>
      <c r="C103" s="1" t="s">
        <v>79</v>
      </c>
      <c r="D103" s="2">
        <v>4.8</v>
      </c>
      <c r="E103" s="2">
        <v>6540</v>
      </c>
      <c r="F103" s="2">
        <v>22</v>
      </c>
      <c r="G103" s="2" t="str">
        <f t="shared" si="4"/>
        <v>High Price</v>
      </c>
      <c r="H103" s="2">
        <v>2014</v>
      </c>
      <c r="I103" s="1" t="s">
        <v>12</v>
      </c>
      <c r="J103" s="5" t="str">
        <f t="shared" si="5"/>
        <v>Excellent</v>
      </c>
    </row>
    <row r="104" spans="1:10" ht="14.4" x14ac:dyDescent="0.3">
      <c r="A104" s="1" t="s">
        <v>228</v>
      </c>
      <c r="B104" s="1" t="str">
        <f t="shared" si="3"/>
        <v>Humans</v>
      </c>
      <c r="C104" s="1" t="s">
        <v>229</v>
      </c>
      <c r="D104" s="2">
        <v>4.8</v>
      </c>
      <c r="E104" s="2">
        <v>3490</v>
      </c>
      <c r="F104" s="2">
        <v>15</v>
      </c>
      <c r="G104" s="2" t="str">
        <f t="shared" si="4"/>
        <v>High Price</v>
      </c>
      <c r="H104" s="2">
        <v>2014</v>
      </c>
      <c r="I104" s="1" t="s">
        <v>9</v>
      </c>
      <c r="J104" s="5" t="str">
        <f t="shared" si="5"/>
        <v>Excellent</v>
      </c>
    </row>
    <row r="105" spans="1:10" ht="14.4" x14ac:dyDescent="0.3">
      <c r="A105" s="1" t="s">
        <v>291</v>
      </c>
      <c r="B105" s="1" t="str">
        <f t="shared" si="3"/>
        <v>Love</v>
      </c>
      <c r="C105" s="1" t="s">
        <v>292</v>
      </c>
      <c r="D105" s="2">
        <v>4.8</v>
      </c>
      <c r="E105" s="2">
        <v>18613</v>
      </c>
      <c r="F105" s="2">
        <v>5</v>
      </c>
      <c r="G105" s="2" t="str">
        <f t="shared" si="4"/>
        <v>Normal Price</v>
      </c>
      <c r="H105" s="2">
        <v>2014</v>
      </c>
      <c r="I105" s="1" t="s">
        <v>12</v>
      </c>
      <c r="J105" s="5" t="str">
        <f t="shared" si="5"/>
        <v>Excellent</v>
      </c>
    </row>
    <row r="106" spans="1:10" ht="14.4" x14ac:dyDescent="0.3">
      <c r="A106" s="1" t="s">
        <v>398</v>
      </c>
      <c r="B106" s="1" t="str">
        <f t="shared" si="3"/>
        <v>The</v>
      </c>
      <c r="C106" s="1" t="s">
        <v>332</v>
      </c>
      <c r="D106" s="2">
        <v>4.8</v>
      </c>
      <c r="E106" s="2">
        <v>6600</v>
      </c>
      <c r="F106" s="2">
        <v>11</v>
      </c>
      <c r="G106" s="2" t="str">
        <f t="shared" si="4"/>
        <v>High Price</v>
      </c>
      <c r="H106" s="2">
        <v>2014</v>
      </c>
      <c r="I106" s="1" t="s">
        <v>12</v>
      </c>
      <c r="J106" s="5" t="str">
        <f t="shared" si="5"/>
        <v>Excellent</v>
      </c>
    </row>
    <row r="107" spans="1:10" ht="14.4" x14ac:dyDescent="0.3">
      <c r="A107" s="1" t="s">
        <v>407</v>
      </c>
      <c r="B107" s="1" t="str">
        <f t="shared" si="3"/>
        <v>The</v>
      </c>
      <c r="C107" s="1" t="s">
        <v>408</v>
      </c>
      <c r="D107" s="2">
        <v>4.8</v>
      </c>
      <c r="E107" s="2">
        <v>8081</v>
      </c>
      <c r="F107" s="2">
        <v>8</v>
      </c>
      <c r="G107" s="2" t="str">
        <f t="shared" si="4"/>
        <v>Normal Price</v>
      </c>
      <c r="H107" s="2">
        <v>2014</v>
      </c>
      <c r="I107" s="1" t="s">
        <v>12</v>
      </c>
      <c r="J107" s="5" t="str">
        <f t="shared" si="5"/>
        <v>Excellent</v>
      </c>
    </row>
    <row r="108" spans="1:10" ht="14.4" x14ac:dyDescent="0.3">
      <c r="A108" s="1" t="s">
        <v>409</v>
      </c>
      <c r="B108" s="1" t="str">
        <f t="shared" si="3"/>
        <v>The</v>
      </c>
      <c r="C108" s="1" t="s">
        <v>410</v>
      </c>
      <c r="D108" s="2">
        <v>4.8</v>
      </c>
      <c r="E108" s="2">
        <v>23358</v>
      </c>
      <c r="F108" s="2">
        <v>12</v>
      </c>
      <c r="G108" s="2" t="str">
        <f t="shared" si="4"/>
        <v>High Price</v>
      </c>
      <c r="H108" s="2">
        <v>2014</v>
      </c>
      <c r="I108" s="1" t="s">
        <v>9</v>
      </c>
      <c r="J108" s="5" t="str">
        <f t="shared" si="5"/>
        <v>Excellent</v>
      </c>
    </row>
    <row r="109" spans="1:10" ht="14.4" x14ac:dyDescent="0.3">
      <c r="A109" s="1" t="s">
        <v>421</v>
      </c>
      <c r="B109" s="1" t="str">
        <f t="shared" si="3"/>
        <v>The</v>
      </c>
      <c r="C109" s="1" t="s">
        <v>422</v>
      </c>
      <c r="D109" s="2">
        <v>4.8</v>
      </c>
      <c r="E109" s="2">
        <v>8922</v>
      </c>
      <c r="F109" s="2">
        <v>9</v>
      </c>
      <c r="G109" s="2" t="str">
        <f t="shared" si="4"/>
        <v>Normal Price</v>
      </c>
      <c r="H109" s="2">
        <v>2014</v>
      </c>
      <c r="I109" s="1" t="s">
        <v>12</v>
      </c>
      <c r="J109" s="5" t="str">
        <f t="shared" si="5"/>
        <v>Excellent</v>
      </c>
    </row>
    <row r="110" spans="1:10" ht="14.4" x14ac:dyDescent="0.3">
      <c r="A110" s="1" t="s">
        <v>558</v>
      </c>
      <c r="B110" s="1" t="str">
        <f t="shared" si="3"/>
        <v>To</v>
      </c>
      <c r="C110" s="1" t="s">
        <v>183</v>
      </c>
      <c r="D110" s="2">
        <v>4.8</v>
      </c>
      <c r="E110" s="2">
        <v>26234</v>
      </c>
      <c r="F110" s="2">
        <v>0</v>
      </c>
      <c r="G110" s="2" t="str">
        <f t="shared" si="4"/>
        <v>Normal Price</v>
      </c>
      <c r="H110" s="2">
        <v>2014</v>
      </c>
      <c r="I110" s="1" t="s">
        <v>12</v>
      </c>
      <c r="J110" s="5" t="str">
        <f t="shared" si="5"/>
        <v>Excellent</v>
      </c>
    </row>
    <row r="111" spans="1:10" ht="14.4" x14ac:dyDescent="0.3">
      <c r="A111" s="1" t="s">
        <v>566</v>
      </c>
      <c r="B111" s="1" t="str">
        <f t="shared" si="3"/>
        <v>Unbroken:</v>
      </c>
      <c r="C111" s="1" t="s">
        <v>567</v>
      </c>
      <c r="D111" s="2">
        <v>4.8</v>
      </c>
      <c r="E111" s="2">
        <v>29673</v>
      </c>
      <c r="F111" s="2">
        <v>13</v>
      </c>
      <c r="G111" s="2" t="str">
        <f t="shared" si="4"/>
        <v>High Price</v>
      </c>
      <c r="H111" s="2">
        <v>2014</v>
      </c>
      <c r="I111" s="1" t="s">
        <v>9</v>
      </c>
      <c r="J111" s="5" t="str">
        <f t="shared" si="5"/>
        <v>Excellent</v>
      </c>
    </row>
    <row r="112" spans="1:10" ht="14.4" x14ac:dyDescent="0.3">
      <c r="A112" s="1" t="s">
        <v>566</v>
      </c>
      <c r="B112" s="1" t="str">
        <f t="shared" si="3"/>
        <v>Unbroken:</v>
      </c>
      <c r="C112" s="1" t="s">
        <v>567</v>
      </c>
      <c r="D112" s="2">
        <v>4.8</v>
      </c>
      <c r="E112" s="2">
        <v>29673</v>
      </c>
      <c r="F112" s="2">
        <v>16</v>
      </c>
      <c r="G112" s="2" t="str">
        <f t="shared" si="4"/>
        <v>High Price</v>
      </c>
      <c r="H112" s="2">
        <v>2014</v>
      </c>
      <c r="I112" s="1" t="s">
        <v>9</v>
      </c>
      <c r="J112" s="5" t="str">
        <f t="shared" si="5"/>
        <v>Excellent</v>
      </c>
    </row>
    <row r="113" spans="1:10" ht="14.4" x14ac:dyDescent="0.3">
      <c r="A113" s="1" t="s">
        <v>602</v>
      </c>
      <c r="B113" s="1" t="str">
        <f t="shared" si="3"/>
        <v>Wonder</v>
      </c>
      <c r="C113" s="1" t="s">
        <v>603</v>
      </c>
      <c r="D113" s="2">
        <v>4.8</v>
      </c>
      <c r="E113" s="2">
        <v>21625</v>
      </c>
      <c r="F113" s="2">
        <v>9</v>
      </c>
      <c r="G113" s="2" t="str">
        <f t="shared" si="4"/>
        <v>Normal Price</v>
      </c>
      <c r="H113" s="2">
        <v>2014</v>
      </c>
      <c r="I113" s="1" t="s">
        <v>12</v>
      </c>
      <c r="J113" s="5" t="str">
        <f t="shared" si="5"/>
        <v>Excellent</v>
      </c>
    </row>
    <row r="114" spans="1:10" ht="14.4" x14ac:dyDescent="0.3">
      <c r="A114" s="1" t="s">
        <v>67</v>
      </c>
      <c r="B114" s="1" t="str">
        <f t="shared" si="3"/>
        <v>Being</v>
      </c>
      <c r="C114" s="1" t="s">
        <v>68</v>
      </c>
      <c r="D114" s="2">
        <v>4.8</v>
      </c>
      <c r="E114" s="2">
        <v>11113</v>
      </c>
      <c r="F114" s="2">
        <v>15</v>
      </c>
      <c r="G114" s="2" t="str">
        <f t="shared" si="4"/>
        <v>High Price</v>
      </c>
      <c r="H114" s="2">
        <v>2015</v>
      </c>
      <c r="I114" s="1" t="s">
        <v>9</v>
      </c>
      <c r="J114" s="5" t="str">
        <f t="shared" si="5"/>
        <v>Excellent</v>
      </c>
    </row>
    <row r="115" spans="1:10" ht="14.4" x14ac:dyDescent="0.3">
      <c r="A115" s="1" t="s">
        <v>94</v>
      </c>
      <c r="B115" s="1" t="str">
        <f t="shared" si="3"/>
        <v>Creative</v>
      </c>
      <c r="C115" s="1" t="s">
        <v>95</v>
      </c>
      <c r="D115" s="2">
        <v>4.8</v>
      </c>
      <c r="E115" s="2">
        <v>4022</v>
      </c>
      <c r="F115" s="2">
        <v>4</v>
      </c>
      <c r="G115" s="2" t="str">
        <f t="shared" si="4"/>
        <v>Normal Price</v>
      </c>
      <c r="H115" s="2">
        <v>2015</v>
      </c>
      <c r="I115" s="1" t="s">
        <v>9</v>
      </c>
      <c r="J115" s="5" t="str">
        <f t="shared" si="5"/>
        <v>Excellent</v>
      </c>
    </row>
    <row r="116" spans="1:10" ht="14.4" x14ac:dyDescent="0.3">
      <c r="A116" s="1" t="s">
        <v>96</v>
      </c>
      <c r="B116" s="1" t="str">
        <f t="shared" si="3"/>
        <v>Creative</v>
      </c>
      <c r="C116" s="1" t="s">
        <v>95</v>
      </c>
      <c r="D116" s="2">
        <v>4.8</v>
      </c>
      <c r="E116" s="2">
        <v>3871</v>
      </c>
      <c r="F116" s="2">
        <v>5</v>
      </c>
      <c r="G116" s="2" t="str">
        <f t="shared" si="4"/>
        <v>Normal Price</v>
      </c>
      <c r="H116" s="2">
        <v>2015</v>
      </c>
      <c r="I116" s="1" t="s">
        <v>9</v>
      </c>
      <c r="J116" s="5" t="str">
        <f t="shared" si="5"/>
        <v>Excellent</v>
      </c>
    </row>
    <row r="117" spans="1:10" ht="14.4" x14ac:dyDescent="0.3">
      <c r="A117" s="1" t="s">
        <v>107</v>
      </c>
      <c r="B117" s="1" t="str">
        <f t="shared" si="3"/>
        <v>Dear</v>
      </c>
      <c r="C117" s="1" t="s">
        <v>108</v>
      </c>
      <c r="D117" s="2">
        <v>4.8</v>
      </c>
      <c r="E117" s="2">
        <v>10922</v>
      </c>
      <c r="F117" s="2">
        <v>5</v>
      </c>
      <c r="G117" s="2" t="str">
        <f t="shared" si="4"/>
        <v>Normal Price</v>
      </c>
      <c r="H117" s="2">
        <v>2015</v>
      </c>
      <c r="I117" s="1" t="s">
        <v>12</v>
      </c>
      <c r="J117" s="5" t="str">
        <f t="shared" si="5"/>
        <v>Excellent</v>
      </c>
    </row>
    <row r="118" spans="1:10" ht="14.4" x14ac:dyDescent="0.3">
      <c r="A118" s="1" t="s">
        <v>176</v>
      </c>
      <c r="B118" s="1" t="str">
        <f t="shared" si="3"/>
        <v>Giraffes</v>
      </c>
      <c r="C118" s="1" t="s">
        <v>177</v>
      </c>
      <c r="D118" s="2">
        <v>4.8</v>
      </c>
      <c r="E118" s="2">
        <v>14038</v>
      </c>
      <c r="F118" s="2">
        <v>4</v>
      </c>
      <c r="G118" s="2" t="str">
        <f t="shared" si="4"/>
        <v>Normal Price</v>
      </c>
      <c r="H118" s="2">
        <v>2015</v>
      </c>
      <c r="I118" s="1" t="s">
        <v>12</v>
      </c>
      <c r="J118" s="5" t="str">
        <f t="shared" si="5"/>
        <v>Excellent</v>
      </c>
    </row>
    <row r="119" spans="1:10" ht="14.4" x14ac:dyDescent="0.3">
      <c r="A119" s="1" t="s">
        <v>291</v>
      </c>
      <c r="B119" s="1" t="str">
        <f t="shared" si="3"/>
        <v>Love</v>
      </c>
      <c r="C119" s="1" t="s">
        <v>292</v>
      </c>
      <c r="D119" s="2">
        <v>4.8</v>
      </c>
      <c r="E119" s="2">
        <v>18613</v>
      </c>
      <c r="F119" s="2">
        <v>5</v>
      </c>
      <c r="G119" s="2" t="str">
        <f t="shared" si="4"/>
        <v>Normal Price</v>
      </c>
      <c r="H119" s="2">
        <v>2015</v>
      </c>
      <c r="I119" s="1" t="s">
        <v>12</v>
      </c>
      <c r="J119" s="5" t="str">
        <f t="shared" si="5"/>
        <v>Excellent</v>
      </c>
    </row>
    <row r="120" spans="1:10" ht="14.4" x14ac:dyDescent="0.3">
      <c r="A120" s="1" t="s">
        <v>319</v>
      </c>
      <c r="B120" s="1" t="str">
        <f t="shared" si="3"/>
        <v>Old</v>
      </c>
      <c r="C120" s="1" t="s">
        <v>79</v>
      </c>
      <c r="D120" s="2">
        <v>4.8</v>
      </c>
      <c r="E120" s="2">
        <v>6169</v>
      </c>
      <c r="F120" s="2">
        <v>7</v>
      </c>
      <c r="G120" s="2" t="str">
        <f t="shared" si="4"/>
        <v>Normal Price</v>
      </c>
      <c r="H120" s="2">
        <v>2015</v>
      </c>
      <c r="I120" s="1" t="s">
        <v>12</v>
      </c>
      <c r="J120" s="5" t="str">
        <f t="shared" si="5"/>
        <v>Excellent</v>
      </c>
    </row>
    <row r="121" spans="1:10" ht="14.4" x14ac:dyDescent="0.3">
      <c r="A121" s="1" t="s">
        <v>385</v>
      </c>
      <c r="B121" s="1" t="str">
        <f t="shared" si="3"/>
        <v>The</v>
      </c>
      <c r="C121" s="1" t="s">
        <v>384</v>
      </c>
      <c r="D121" s="2">
        <v>4.8</v>
      </c>
      <c r="E121" s="2">
        <v>25554</v>
      </c>
      <c r="F121" s="2">
        <v>8</v>
      </c>
      <c r="G121" s="2" t="str">
        <f t="shared" si="4"/>
        <v>Normal Price</v>
      </c>
      <c r="H121" s="2">
        <v>2015</v>
      </c>
      <c r="I121" s="1" t="s">
        <v>9</v>
      </c>
      <c r="J121" s="5" t="str">
        <f t="shared" si="5"/>
        <v>Excellent</v>
      </c>
    </row>
    <row r="122" spans="1:10" ht="14.4" x14ac:dyDescent="0.3">
      <c r="A122" s="1" t="s">
        <v>407</v>
      </c>
      <c r="B122" s="1" t="str">
        <f t="shared" si="3"/>
        <v>The</v>
      </c>
      <c r="C122" s="1" t="s">
        <v>408</v>
      </c>
      <c r="D122" s="2">
        <v>4.8</v>
      </c>
      <c r="E122" s="2">
        <v>8081</v>
      </c>
      <c r="F122" s="2">
        <v>8</v>
      </c>
      <c r="G122" s="2" t="str">
        <f t="shared" si="4"/>
        <v>Normal Price</v>
      </c>
      <c r="H122" s="2">
        <v>2015</v>
      </c>
      <c r="I122" s="1" t="s">
        <v>12</v>
      </c>
      <c r="J122" s="5" t="str">
        <f t="shared" si="5"/>
        <v>Excellent</v>
      </c>
    </row>
    <row r="123" spans="1:10" ht="14.4" x14ac:dyDescent="0.3">
      <c r="A123" s="1" t="s">
        <v>409</v>
      </c>
      <c r="B123" s="1" t="str">
        <f t="shared" si="3"/>
        <v>The</v>
      </c>
      <c r="C123" s="1" t="s">
        <v>410</v>
      </c>
      <c r="D123" s="2">
        <v>4.8</v>
      </c>
      <c r="E123" s="2">
        <v>23358</v>
      </c>
      <c r="F123" s="2">
        <v>12</v>
      </c>
      <c r="G123" s="2" t="str">
        <f t="shared" si="4"/>
        <v>High Price</v>
      </c>
      <c r="H123" s="2">
        <v>2015</v>
      </c>
      <c r="I123" s="1" t="s">
        <v>9</v>
      </c>
      <c r="J123" s="5" t="str">
        <f t="shared" si="5"/>
        <v>Excellent</v>
      </c>
    </row>
    <row r="124" spans="1:10" ht="14.4" x14ac:dyDescent="0.3">
      <c r="A124" s="1" t="s">
        <v>421</v>
      </c>
      <c r="B124" s="1" t="str">
        <f t="shared" si="3"/>
        <v>The</v>
      </c>
      <c r="C124" s="1" t="s">
        <v>422</v>
      </c>
      <c r="D124" s="2">
        <v>4.8</v>
      </c>
      <c r="E124" s="2">
        <v>8922</v>
      </c>
      <c r="F124" s="2">
        <v>9</v>
      </c>
      <c r="G124" s="2" t="str">
        <f t="shared" si="4"/>
        <v>Normal Price</v>
      </c>
      <c r="H124" s="2">
        <v>2015</v>
      </c>
      <c r="I124" s="1" t="s">
        <v>12</v>
      </c>
      <c r="J124" s="5" t="str">
        <f t="shared" si="5"/>
        <v>Excellent</v>
      </c>
    </row>
    <row r="125" spans="1:10" ht="14.4" x14ac:dyDescent="0.3">
      <c r="A125" s="1" t="s">
        <v>490</v>
      </c>
      <c r="B125" s="1" t="str">
        <f t="shared" si="3"/>
        <v>The</v>
      </c>
      <c r="C125" s="1" t="s">
        <v>491</v>
      </c>
      <c r="D125" s="2">
        <v>4.8</v>
      </c>
      <c r="E125" s="2">
        <v>49288</v>
      </c>
      <c r="F125" s="2">
        <v>11</v>
      </c>
      <c r="G125" s="2" t="str">
        <f t="shared" si="4"/>
        <v>High Price</v>
      </c>
      <c r="H125" s="2">
        <v>2015</v>
      </c>
      <c r="I125" s="1" t="s">
        <v>12</v>
      </c>
      <c r="J125" s="5" t="str">
        <f t="shared" si="5"/>
        <v>Excellent</v>
      </c>
    </row>
    <row r="126" spans="1:10" ht="14.4" x14ac:dyDescent="0.3">
      <c r="A126" s="1" t="s">
        <v>499</v>
      </c>
      <c r="B126" s="1" t="str">
        <f t="shared" si="3"/>
        <v>The</v>
      </c>
      <c r="C126" s="1" t="s">
        <v>498</v>
      </c>
      <c r="D126" s="2">
        <v>4.8</v>
      </c>
      <c r="E126" s="2">
        <v>3428</v>
      </c>
      <c r="F126" s="2">
        <v>14</v>
      </c>
      <c r="G126" s="2" t="str">
        <f t="shared" si="4"/>
        <v>High Price</v>
      </c>
      <c r="H126" s="2">
        <v>2015</v>
      </c>
      <c r="I126" s="1" t="s">
        <v>9</v>
      </c>
      <c r="J126" s="5" t="str">
        <f t="shared" si="5"/>
        <v>Excellent</v>
      </c>
    </row>
    <row r="127" spans="1:10" ht="14.4" x14ac:dyDescent="0.3">
      <c r="A127" s="1" t="s">
        <v>558</v>
      </c>
      <c r="B127" s="1" t="str">
        <f t="shared" si="3"/>
        <v>To</v>
      </c>
      <c r="C127" s="1" t="s">
        <v>183</v>
      </c>
      <c r="D127" s="2">
        <v>4.8</v>
      </c>
      <c r="E127" s="2">
        <v>26234</v>
      </c>
      <c r="F127" s="2">
        <v>0</v>
      </c>
      <c r="G127" s="2" t="str">
        <f t="shared" si="4"/>
        <v>Normal Price</v>
      </c>
      <c r="H127" s="2">
        <v>2015</v>
      </c>
      <c r="I127" s="1" t="s">
        <v>12</v>
      </c>
      <c r="J127" s="5" t="str">
        <f t="shared" si="5"/>
        <v>Excellent</v>
      </c>
    </row>
    <row r="128" spans="1:10" ht="14.4" x14ac:dyDescent="0.3">
      <c r="A128" s="1" t="s">
        <v>602</v>
      </c>
      <c r="B128" s="1" t="str">
        <f t="shared" si="3"/>
        <v>Wonder</v>
      </c>
      <c r="C128" s="1" t="s">
        <v>603</v>
      </c>
      <c r="D128" s="2">
        <v>4.8</v>
      </c>
      <c r="E128" s="2">
        <v>21625</v>
      </c>
      <c r="F128" s="2">
        <v>9</v>
      </c>
      <c r="G128" s="2" t="str">
        <f t="shared" si="4"/>
        <v>Normal Price</v>
      </c>
      <c r="H128" s="2">
        <v>2015</v>
      </c>
      <c r="I128" s="1" t="s">
        <v>12</v>
      </c>
      <c r="J128" s="5" t="str">
        <f t="shared" si="5"/>
        <v>Excellent</v>
      </c>
    </row>
    <row r="129" spans="1:10" ht="14.4" x14ac:dyDescent="0.3">
      <c r="A129" s="1" t="s">
        <v>42</v>
      </c>
      <c r="B129" s="1" t="str">
        <f t="shared" si="3"/>
        <v>Alexander</v>
      </c>
      <c r="C129" s="1" t="s">
        <v>43</v>
      </c>
      <c r="D129" s="2">
        <v>4.8</v>
      </c>
      <c r="E129" s="2">
        <v>9198</v>
      </c>
      <c r="F129" s="2">
        <v>13</v>
      </c>
      <c r="G129" s="2" t="str">
        <f t="shared" si="4"/>
        <v>High Price</v>
      </c>
      <c r="H129" s="2">
        <v>2016</v>
      </c>
      <c r="I129" s="1" t="s">
        <v>9</v>
      </c>
      <c r="J129" s="5" t="str">
        <f t="shared" si="5"/>
        <v>Excellent</v>
      </c>
    </row>
    <row r="130" spans="1:10" ht="14.4" x14ac:dyDescent="0.3">
      <c r="A130" s="1" t="s">
        <v>107</v>
      </c>
      <c r="B130" s="1" t="str">
        <f t="shared" ref="B130:B193" si="6">LEFT(A130,FIND(" ",A130&amp;" ")-1)</f>
        <v>Dear</v>
      </c>
      <c r="C130" s="1" t="s">
        <v>108</v>
      </c>
      <c r="D130" s="2">
        <v>4.8</v>
      </c>
      <c r="E130" s="2">
        <v>10922</v>
      </c>
      <c r="F130" s="2">
        <v>5</v>
      </c>
      <c r="G130" s="2" t="str">
        <f t="shared" ref="G130:G193" si="7">IF(F130&gt;10,"High Price","Normal Price")</f>
        <v>Normal Price</v>
      </c>
      <c r="H130" s="2">
        <v>2016</v>
      </c>
      <c r="I130" s="1" t="s">
        <v>12</v>
      </c>
      <c r="J130" s="5" t="str">
        <f t="shared" ref="J130:J193" si="8">IF(D130&gt;=4.5,"Excellent",IF(D130&gt;=4,"Good","Average"))</f>
        <v>Excellent</v>
      </c>
    </row>
    <row r="131" spans="1:10" ht="14.4" x14ac:dyDescent="0.3">
      <c r="A131" s="1" t="s">
        <v>133</v>
      </c>
      <c r="B131" s="1" t="str">
        <f t="shared" si="6"/>
        <v>Double</v>
      </c>
      <c r="C131" s="1" t="s">
        <v>79</v>
      </c>
      <c r="D131" s="2">
        <v>4.8</v>
      </c>
      <c r="E131" s="2">
        <v>5118</v>
      </c>
      <c r="F131" s="2">
        <v>20</v>
      </c>
      <c r="G131" s="2" t="str">
        <f t="shared" si="7"/>
        <v>High Price</v>
      </c>
      <c r="H131" s="2">
        <v>2016</v>
      </c>
      <c r="I131" s="1" t="s">
        <v>12</v>
      </c>
      <c r="J131" s="5" t="str">
        <f t="shared" si="8"/>
        <v>Excellent</v>
      </c>
    </row>
    <row r="132" spans="1:10" ht="14.4" x14ac:dyDescent="0.3">
      <c r="A132" s="1" t="s">
        <v>176</v>
      </c>
      <c r="B132" s="1" t="str">
        <f t="shared" si="6"/>
        <v>Giraffes</v>
      </c>
      <c r="C132" s="1" t="s">
        <v>177</v>
      </c>
      <c r="D132" s="2">
        <v>4.8</v>
      </c>
      <c r="E132" s="2">
        <v>14038</v>
      </c>
      <c r="F132" s="2">
        <v>4</v>
      </c>
      <c r="G132" s="2" t="str">
        <f t="shared" si="7"/>
        <v>Normal Price</v>
      </c>
      <c r="H132" s="2">
        <v>2016</v>
      </c>
      <c r="I132" s="1" t="s">
        <v>12</v>
      </c>
      <c r="J132" s="5" t="str">
        <f t="shared" si="8"/>
        <v>Excellent</v>
      </c>
    </row>
    <row r="133" spans="1:10" ht="14.4" x14ac:dyDescent="0.3">
      <c r="A133" s="1" t="s">
        <v>215</v>
      </c>
      <c r="B133" s="1" t="str">
        <f t="shared" si="6"/>
        <v>Harry</v>
      </c>
      <c r="C133" s="1" t="s">
        <v>210</v>
      </c>
      <c r="D133" s="2">
        <v>4.8</v>
      </c>
      <c r="E133" s="2">
        <v>13471</v>
      </c>
      <c r="F133" s="2">
        <v>52</v>
      </c>
      <c r="G133" s="2" t="str">
        <f t="shared" si="7"/>
        <v>High Price</v>
      </c>
      <c r="H133" s="2">
        <v>2016</v>
      </c>
      <c r="I133" s="1" t="s">
        <v>12</v>
      </c>
      <c r="J133" s="5" t="str">
        <f t="shared" si="8"/>
        <v>Excellent</v>
      </c>
    </row>
    <row r="134" spans="1:10" ht="14.4" x14ac:dyDescent="0.3">
      <c r="A134" s="1" t="s">
        <v>263</v>
      </c>
      <c r="B134" s="1" t="str">
        <f t="shared" si="6"/>
        <v>Killing</v>
      </c>
      <c r="C134" s="1" t="s">
        <v>258</v>
      </c>
      <c r="D134" s="2">
        <v>4.8</v>
      </c>
      <c r="E134" s="2">
        <v>8916</v>
      </c>
      <c r="F134" s="2">
        <v>6</v>
      </c>
      <c r="G134" s="2" t="str">
        <f t="shared" si="7"/>
        <v>Normal Price</v>
      </c>
      <c r="H134" s="2">
        <v>2016</v>
      </c>
      <c r="I134" s="1" t="s">
        <v>9</v>
      </c>
      <c r="J134" s="5" t="str">
        <f t="shared" si="8"/>
        <v>Excellent</v>
      </c>
    </row>
    <row r="135" spans="1:10" ht="14.4" x14ac:dyDescent="0.3">
      <c r="A135" s="1" t="s">
        <v>385</v>
      </c>
      <c r="B135" s="1" t="str">
        <f t="shared" si="6"/>
        <v>The</v>
      </c>
      <c r="C135" s="1" t="s">
        <v>384</v>
      </c>
      <c r="D135" s="2">
        <v>4.8</v>
      </c>
      <c r="E135" s="2">
        <v>25554</v>
      </c>
      <c r="F135" s="2">
        <v>8</v>
      </c>
      <c r="G135" s="2" t="str">
        <f t="shared" si="7"/>
        <v>Normal Price</v>
      </c>
      <c r="H135" s="2">
        <v>2016</v>
      </c>
      <c r="I135" s="1" t="s">
        <v>9</v>
      </c>
      <c r="J135" s="5" t="str">
        <f t="shared" si="8"/>
        <v>Excellent</v>
      </c>
    </row>
    <row r="136" spans="1:10" ht="14.4" x14ac:dyDescent="0.3">
      <c r="A136" s="1" t="s">
        <v>417</v>
      </c>
      <c r="B136" s="1" t="str">
        <f t="shared" si="6"/>
        <v>The</v>
      </c>
      <c r="C136" s="1" t="s">
        <v>418</v>
      </c>
      <c r="D136" s="2">
        <v>4.8</v>
      </c>
      <c r="E136" s="2">
        <v>2774</v>
      </c>
      <c r="F136" s="2">
        <v>0</v>
      </c>
      <c r="G136" s="2" t="str">
        <f t="shared" si="7"/>
        <v>Normal Price</v>
      </c>
      <c r="H136" s="2">
        <v>2016</v>
      </c>
      <c r="I136" s="1" t="s">
        <v>9</v>
      </c>
      <c r="J136" s="5" t="str">
        <f t="shared" si="8"/>
        <v>Excellent</v>
      </c>
    </row>
    <row r="137" spans="1:10" ht="14.4" x14ac:dyDescent="0.3">
      <c r="A137" s="1" t="s">
        <v>441</v>
      </c>
      <c r="B137" s="1" t="str">
        <f t="shared" si="6"/>
        <v>The</v>
      </c>
      <c r="C137" s="1" t="s">
        <v>442</v>
      </c>
      <c r="D137" s="2">
        <v>4.8</v>
      </c>
      <c r="E137" s="2">
        <v>5249</v>
      </c>
      <c r="F137" s="2">
        <v>5</v>
      </c>
      <c r="G137" s="2" t="str">
        <f t="shared" si="7"/>
        <v>Normal Price</v>
      </c>
      <c r="H137" s="2">
        <v>2016</v>
      </c>
      <c r="I137" s="1" t="s">
        <v>12</v>
      </c>
      <c r="J137" s="5" t="str">
        <f t="shared" si="8"/>
        <v>Excellent</v>
      </c>
    </row>
    <row r="138" spans="1:10" ht="14.4" x14ac:dyDescent="0.3">
      <c r="A138" s="1" t="s">
        <v>490</v>
      </c>
      <c r="B138" s="1" t="str">
        <f t="shared" si="6"/>
        <v>The</v>
      </c>
      <c r="C138" s="1" t="s">
        <v>491</v>
      </c>
      <c r="D138" s="2">
        <v>4.8</v>
      </c>
      <c r="E138" s="2">
        <v>49288</v>
      </c>
      <c r="F138" s="2">
        <v>11</v>
      </c>
      <c r="G138" s="2" t="str">
        <f t="shared" si="7"/>
        <v>High Price</v>
      </c>
      <c r="H138" s="2">
        <v>2016</v>
      </c>
      <c r="I138" s="1" t="s">
        <v>12</v>
      </c>
      <c r="J138" s="5" t="str">
        <f t="shared" si="8"/>
        <v>Excellent</v>
      </c>
    </row>
    <row r="139" spans="1:10" ht="14.4" x14ac:dyDescent="0.3">
      <c r="A139" s="1" t="s">
        <v>558</v>
      </c>
      <c r="B139" s="1" t="str">
        <f t="shared" si="6"/>
        <v>To</v>
      </c>
      <c r="C139" s="1" t="s">
        <v>183</v>
      </c>
      <c r="D139" s="2">
        <v>4.8</v>
      </c>
      <c r="E139" s="2">
        <v>26234</v>
      </c>
      <c r="F139" s="2">
        <v>0</v>
      </c>
      <c r="G139" s="2" t="str">
        <f t="shared" si="7"/>
        <v>Normal Price</v>
      </c>
      <c r="H139" s="2">
        <v>2016</v>
      </c>
      <c r="I139" s="1" t="s">
        <v>12</v>
      </c>
      <c r="J139" s="5" t="str">
        <f t="shared" si="8"/>
        <v>Excellent</v>
      </c>
    </row>
    <row r="140" spans="1:10" ht="14.4" x14ac:dyDescent="0.3">
      <c r="A140" s="1" t="s">
        <v>588</v>
      </c>
      <c r="B140" s="1" t="str">
        <f t="shared" si="6"/>
        <v>When</v>
      </c>
      <c r="C140" s="1" t="s">
        <v>589</v>
      </c>
      <c r="D140" s="2">
        <v>4.8</v>
      </c>
      <c r="E140" s="2">
        <v>13779</v>
      </c>
      <c r="F140" s="2">
        <v>14</v>
      </c>
      <c r="G140" s="2" t="str">
        <f t="shared" si="7"/>
        <v>High Price</v>
      </c>
      <c r="H140" s="2">
        <v>2016</v>
      </c>
      <c r="I140" s="1" t="s">
        <v>9</v>
      </c>
      <c r="J140" s="5" t="str">
        <f t="shared" si="8"/>
        <v>Excellent</v>
      </c>
    </row>
    <row r="141" spans="1:10" ht="14.4" x14ac:dyDescent="0.3">
      <c r="A141" s="1" t="s">
        <v>602</v>
      </c>
      <c r="B141" s="1" t="str">
        <f t="shared" si="6"/>
        <v>Wonder</v>
      </c>
      <c r="C141" s="1" t="s">
        <v>603</v>
      </c>
      <c r="D141" s="2">
        <v>4.8</v>
      </c>
      <c r="E141" s="2">
        <v>21625</v>
      </c>
      <c r="F141" s="2">
        <v>9</v>
      </c>
      <c r="G141" s="2" t="str">
        <f t="shared" si="7"/>
        <v>Normal Price</v>
      </c>
      <c r="H141" s="2">
        <v>2016</v>
      </c>
      <c r="I141" s="1" t="s">
        <v>12</v>
      </c>
      <c r="J141" s="5" t="str">
        <f t="shared" si="8"/>
        <v>Excellent</v>
      </c>
    </row>
    <row r="142" spans="1:10" ht="14.4" x14ac:dyDescent="0.3">
      <c r="A142" s="1" t="s">
        <v>107</v>
      </c>
      <c r="B142" s="1" t="str">
        <f t="shared" si="6"/>
        <v>Dear</v>
      </c>
      <c r="C142" s="1" t="s">
        <v>108</v>
      </c>
      <c r="D142" s="2">
        <v>4.8</v>
      </c>
      <c r="E142" s="2">
        <v>10922</v>
      </c>
      <c r="F142" s="2">
        <v>5</v>
      </c>
      <c r="G142" s="2" t="str">
        <f t="shared" si="7"/>
        <v>Normal Price</v>
      </c>
      <c r="H142" s="2">
        <v>2017</v>
      </c>
      <c r="I142" s="1" t="s">
        <v>12</v>
      </c>
      <c r="J142" s="5" t="str">
        <f t="shared" si="8"/>
        <v>Excellent</v>
      </c>
    </row>
    <row r="143" spans="1:10" ht="14.4" x14ac:dyDescent="0.3">
      <c r="A143" s="1" t="s">
        <v>176</v>
      </c>
      <c r="B143" s="1" t="str">
        <f t="shared" si="6"/>
        <v>Giraffes</v>
      </c>
      <c r="C143" s="1" t="s">
        <v>177</v>
      </c>
      <c r="D143" s="2">
        <v>4.8</v>
      </c>
      <c r="E143" s="2">
        <v>14038</v>
      </c>
      <c r="F143" s="2">
        <v>4</v>
      </c>
      <c r="G143" s="2" t="str">
        <f t="shared" si="7"/>
        <v>Normal Price</v>
      </c>
      <c r="H143" s="2">
        <v>2017</v>
      </c>
      <c r="I143" s="1" t="s">
        <v>12</v>
      </c>
      <c r="J143" s="5" t="str">
        <f t="shared" si="8"/>
        <v>Excellent</v>
      </c>
    </row>
    <row r="144" spans="1:10" ht="14.4" x14ac:dyDescent="0.3">
      <c r="A144" s="1" t="s">
        <v>194</v>
      </c>
      <c r="B144" s="1" t="str">
        <f t="shared" si="6"/>
        <v>Goodnight</v>
      </c>
      <c r="C144" s="1" t="s">
        <v>195</v>
      </c>
      <c r="D144" s="2">
        <v>4.8</v>
      </c>
      <c r="E144" s="2">
        <v>8837</v>
      </c>
      <c r="F144" s="2">
        <v>5</v>
      </c>
      <c r="G144" s="2" t="str">
        <f t="shared" si="7"/>
        <v>Normal Price</v>
      </c>
      <c r="H144" s="2">
        <v>2017</v>
      </c>
      <c r="I144" s="1" t="s">
        <v>12</v>
      </c>
      <c r="J144" s="5" t="str">
        <f t="shared" si="8"/>
        <v>Excellent</v>
      </c>
    </row>
    <row r="145" spans="1:10" ht="14.4" x14ac:dyDescent="0.3">
      <c r="A145" s="1" t="s">
        <v>237</v>
      </c>
      <c r="B145" s="1" t="str">
        <f t="shared" si="6"/>
        <v>If</v>
      </c>
      <c r="C145" s="1" t="s">
        <v>238</v>
      </c>
      <c r="D145" s="2">
        <v>4.8</v>
      </c>
      <c r="E145" s="2">
        <v>16643</v>
      </c>
      <c r="F145" s="2">
        <v>4</v>
      </c>
      <c r="G145" s="2" t="str">
        <f t="shared" si="7"/>
        <v>Normal Price</v>
      </c>
      <c r="H145" s="2">
        <v>2017</v>
      </c>
      <c r="I145" s="1" t="s">
        <v>12</v>
      </c>
      <c r="J145" s="5" t="str">
        <f t="shared" si="8"/>
        <v>Excellent</v>
      </c>
    </row>
    <row r="146" spans="1:10" ht="14.4" x14ac:dyDescent="0.3">
      <c r="A146" s="1" t="s">
        <v>333</v>
      </c>
      <c r="B146" s="1" t="str">
        <f t="shared" si="6"/>
        <v>Player's</v>
      </c>
      <c r="C146" s="1" t="s">
        <v>334</v>
      </c>
      <c r="D146" s="2">
        <v>4.8</v>
      </c>
      <c r="E146" s="2">
        <v>16990</v>
      </c>
      <c r="F146" s="2">
        <v>27</v>
      </c>
      <c r="G146" s="2" t="str">
        <f t="shared" si="7"/>
        <v>High Price</v>
      </c>
      <c r="H146" s="2">
        <v>2017</v>
      </c>
      <c r="I146" s="1" t="s">
        <v>12</v>
      </c>
      <c r="J146" s="5" t="str">
        <f t="shared" si="8"/>
        <v>Excellent</v>
      </c>
    </row>
    <row r="147" spans="1:10" ht="14.4" x14ac:dyDescent="0.3">
      <c r="A147" s="1" t="s">
        <v>340</v>
      </c>
      <c r="B147" s="1" t="str">
        <f t="shared" si="6"/>
        <v>Puppy</v>
      </c>
      <c r="C147" s="1" t="s">
        <v>341</v>
      </c>
      <c r="D147" s="2">
        <v>4.8</v>
      </c>
      <c r="E147" s="2">
        <v>4757</v>
      </c>
      <c r="F147" s="2">
        <v>4</v>
      </c>
      <c r="G147" s="2" t="str">
        <f t="shared" si="7"/>
        <v>Normal Price</v>
      </c>
      <c r="H147" s="2">
        <v>2017</v>
      </c>
      <c r="I147" s="1" t="s">
        <v>12</v>
      </c>
      <c r="J147" s="5" t="str">
        <f t="shared" si="8"/>
        <v>Excellent</v>
      </c>
    </row>
    <row r="148" spans="1:10" ht="14.4" x14ac:dyDescent="0.3">
      <c r="A148" s="1" t="s">
        <v>385</v>
      </c>
      <c r="B148" s="1" t="str">
        <f t="shared" si="6"/>
        <v>The</v>
      </c>
      <c r="C148" s="1" t="s">
        <v>384</v>
      </c>
      <c r="D148" s="2">
        <v>4.8</v>
      </c>
      <c r="E148" s="2">
        <v>25554</v>
      </c>
      <c r="F148" s="2">
        <v>8</v>
      </c>
      <c r="G148" s="2" t="str">
        <f t="shared" si="7"/>
        <v>Normal Price</v>
      </c>
      <c r="H148" s="2">
        <v>2017</v>
      </c>
      <c r="I148" s="1" t="s">
        <v>9</v>
      </c>
      <c r="J148" s="5" t="str">
        <f t="shared" si="8"/>
        <v>Excellent</v>
      </c>
    </row>
    <row r="149" spans="1:10" ht="14.4" x14ac:dyDescent="0.3">
      <c r="A149" s="1" t="s">
        <v>433</v>
      </c>
      <c r="B149" s="1" t="str">
        <f t="shared" si="6"/>
        <v>The</v>
      </c>
      <c r="C149" s="1" t="s">
        <v>79</v>
      </c>
      <c r="D149" s="2">
        <v>4.8</v>
      </c>
      <c r="E149" s="2">
        <v>5836</v>
      </c>
      <c r="F149" s="2">
        <v>0</v>
      </c>
      <c r="G149" s="2" t="str">
        <f t="shared" si="7"/>
        <v>Normal Price</v>
      </c>
      <c r="H149" s="2">
        <v>2017</v>
      </c>
      <c r="I149" s="1" t="s">
        <v>12</v>
      </c>
      <c r="J149" s="5" t="str">
        <f t="shared" si="8"/>
        <v>Excellent</v>
      </c>
    </row>
    <row r="150" spans="1:10" ht="14.4" x14ac:dyDescent="0.3">
      <c r="A150" s="1" t="s">
        <v>441</v>
      </c>
      <c r="B150" s="1" t="str">
        <f t="shared" si="6"/>
        <v>The</v>
      </c>
      <c r="C150" s="1" t="s">
        <v>442</v>
      </c>
      <c r="D150" s="2">
        <v>4.8</v>
      </c>
      <c r="E150" s="2">
        <v>5249</v>
      </c>
      <c r="F150" s="2">
        <v>5</v>
      </c>
      <c r="G150" s="2" t="str">
        <f t="shared" si="7"/>
        <v>Normal Price</v>
      </c>
      <c r="H150" s="2">
        <v>2017</v>
      </c>
      <c r="I150" s="1" t="s">
        <v>12</v>
      </c>
      <c r="J150" s="5" t="str">
        <f t="shared" si="8"/>
        <v>Excellent</v>
      </c>
    </row>
    <row r="151" spans="1:10" ht="14.4" x14ac:dyDescent="0.3">
      <c r="A151" s="1" t="s">
        <v>504</v>
      </c>
      <c r="B151" s="1" t="str">
        <f t="shared" si="6"/>
        <v>The</v>
      </c>
      <c r="C151" s="1" t="s">
        <v>505</v>
      </c>
      <c r="D151" s="2">
        <v>4.8</v>
      </c>
      <c r="E151" s="2">
        <v>9784</v>
      </c>
      <c r="F151" s="2">
        <v>5</v>
      </c>
      <c r="G151" s="2" t="str">
        <f t="shared" si="7"/>
        <v>Normal Price</v>
      </c>
      <c r="H151" s="2">
        <v>2017</v>
      </c>
      <c r="I151" s="1" t="s">
        <v>12</v>
      </c>
      <c r="J151" s="5" t="str">
        <f t="shared" si="8"/>
        <v>Excellent</v>
      </c>
    </row>
    <row r="152" spans="1:10" ht="14.4" x14ac:dyDescent="0.3">
      <c r="A152" s="1" t="s">
        <v>602</v>
      </c>
      <c r="B152" s="1" t="str">
        <f t="shared" si="6"/>
        <v>Wonder</v>
      </c>
      <c r="C152" s="1" t="s">
        <v>603</v>
      </c>
      <c r="D152" s="2">
        <v>4.8</v>
      </c>
      <c r="E152" s="2">
        <v>21625</v>
      </c>
      <c r="F152" s="2">
        <v>9</v>
      </c>
      <c r="G152" s="2" t="str">
        <f t="shared" si="7"/>
        <v>Normal Price</v>
      </c>
      <c r="H152" s="2">
        <v>2017</v>
      </c>
      <c r="I152" s="1" t="s">
        <v>12</v>
      </c>
      <c r="J152" s="5" t="str">
        <f t="shared" si="8"/>
        <v>Excellent</v>
      </c>
    </row>
    <row r="153" spans="1:10" ht="14.4" x14ac:dyDescent="0.3">
      <c r="A153" s="1" t="s">
        <v>65</v>
      </c>
      <c r="B153" s="1" t="str">
        <f t="shared" si="6"/>
        <v>Becoming</v>
      </c>
      <c r="C153" s="1" t="s">
        <v>66</v>
      </c>
      <c r="D153" s="2">
        <v>4.8</v>
      </c>
      <c r="E153" s="2">
        <v>61133</v>
      </c>
      <c r="F153" s="2">
        <v>11</v>
      </c>
      <c r="G153" s="2" t="str">
        <f t="shared" si="7"/>
        <v>High Price</v>
      </c>
      <c r="H153" s="2">
        <v>2018</v>
      </c>
      <c r="I153" s="1" t="s">
        <v>9</v>
      </c>
      <c r="J153" s="5" t="str">
        <f t="shared" si="8"/>
        <v>Excellent</v>
      </c>
    </row>
    <row r="154" spans="1:10" ht="14.4" x14ac:dyDescent="0.3">
      <c r="A154" s="1" t="s">
        <v>107</v>
      </c>
      <c r="B154" s="1" t="str">
        <f t="shared" si="6"/>
        <v>Dear</v>
      </c>
      <c r="C154" s="1" t="s">
        <v>108</v>
      </c>
      <c r="D154" s="2">
        <v>4.8</v>
      </c>
      <c r="E154" s="2">
        <v>10922</v>
      </c>
      <c r="F154" s="2">
        <v>5</v>
      </c>
      <c r="G154" s="2" t="str">
        <f t="shared" si="7"/>
        <v>Normal Price</v>
      </c>
      <c r="H154" s="2">
        <v>2018</v>
      </c>
      <c r="I154" s="1" t="s">
        <v>12</v>
      </c>
      <c r="J154" s="5" t="str">
        <f t="shared" si="8"/>
        <v>Excellent</v>
      </c>
    </row>
    <row r="155" spans="1:10" ht="14.4" x14ac:dyDescent="0.3">
      <c r="A155" s="1" t="s">
        <v>176</v>
      </c>
      <c r="B155" s="1" t="str">
        <f t="shared" si="6"/>
        <v>Giraffes</v>
      </c>
      <c r="C155" s="1" t="s">
        <v>177</v>
      </c>
      <c r="D155" s="2">
        <v>4.8</v>
      </c>
      <c r="E155" s="2">
        <v>14038</v>
      </c>
      <c r="F155" s="2">
        <v>4</v>
      </c>
      <c r="G155" s="2" t="str">
        <f t="shared" si="7"/>
        <v>Normal Price</v>
      </c>
      <c r="H155" s="2">
        <v>2018</v>
      </c>
      <c r="I155" s="1" t="s">
        <v>12</v>
      </c>
      <c r="J155" s="5" t="str">
        <f t="shared" si="8"/>
        <v>Excellent</v>
      </c>
    </row>
    <row r="156" spans="1:10" ht="14.4" x14ac:dyDescent="0.3">
      <c r="A156" s="1" t="s">
        <v>194</v>
      </c>
      <c r="B156" s="1" t="str">
        <f t="shared" si="6"/>
        <v>Goodnight</v>
      </c>
      <c r="C156" s="1" t="s">
        <v>195</v>
      </c>
      <c r="D156" s="2">
        <v>4.8</v>
      </c>
      <c r="E156" s="2">
        <v>8837</v>
      </c>
      <c r="F156" s="2">
        <v>5</v>
      </c>
      <c r="G156" s="2" t="str">
        <f t="shared" si="7"/>
        <v>Normal Price</v>
      </c>
      <c r="H156" s="2">
        <v>2018</v>
      </c>
      <c r="I156" s="1" t="s">
        <v>12</v>
      </c>
      <c r="J156" s="5" t="str">
        <f t="shared" si="8"/>
        <v>Excellent</v>
      </c>
    </row>
    <row r="157" spans="1:10" ht="14.4" x14ac:dyDescent="0.3">
      <c r="A157" s="1" t="s">
        <v>222</v>
      </c>
      <c r="B157" s="1" t="str">
        <f t="shared" si="6"/>
        <v>Homebody:</v>
      </c>
      <c r="C157" s="1" t="s">
        <v>223</v>
      </c>
      <c r="D157" s="2">
        <v>4.8</v>
      </c>
      <c r="E157" s="2">
        <v>3776</v>
      </c>
      <c r="F157" s="2">
        <v>22</v>
      </c>
      <c r="G157" s="2" t="str">
        <f t="shared" si="7"/>
        <v>High Price</v>
      </c>
      <c r="H157" s="2">
        <v>2018</v>
      </c>
      <c r="I157" s="1" t="s">
        <v>9</v>
      </c>
      <c r="J157" s="5" t="str">
        <f t="shared" si="8"/>
        <v>Excellent</v>
      </c>
    </row>
    <row r="158" spans="1:10" ht="14.4" x14ac:dyDescent="0.3">
      <c r="A158" s="1" t="s">
        <v>264</v>
      </c>
      <c r="B158" s="1" t="str">
        <f t="shared" si="6"/>
        <v>Kitchen</v>
      </c>
      <c r="C158" s="1" t="s">
        <v>265</v>
      </c>
      <c r="D158" s="2">
        <v>4.8</v>
      </c>
      <c r="E158" s="2">
        <v>2507</v>
      </c>
      <c r="F158" s="2">
        <v>8</v>
      </c>
      <c r="G158" s="2" t="str">
        <f t="shared" si="7"/>
        <v>Normal Price</v>
      </c>
      <c r="H158" s="2">
        <v>2018</v>
      </c>
      <c r="I158" s="1" t="s">
        <v>9</v>
      </c>
      <c r="J158" s="5" t="str">
        <f t="shared" si="8"/>
        <v>Excellent</v>
      </c>
    </row>
    <row r="159" spans="1:10" ht="14.4" x14ac:dyDescent="0.3">
      <c r="A159" s="1" t="s">
        <v>293</v>
      </c>
      <c r="B159" s="1" t="str">
        <f t="shared" si="6"/>
        <v>Magnolia</v>
      </c>
      <c r="C159" s="1" t="s">
        <v>223</v>
      </c>
      <c r="D159" s="2">
        <v>4.8</v>
      </c>
      <c r="E159" s="2">
        <v>9867</v>
      </c>
      <c r="F159" s="2">
        <v>16</v>
      </c>
      <c r="G159" s="2" t="str">
        <f t="shared" si="7"/>
        <v>High Price</v>
      </c>
      <c r="H159" s="2">
        <v>2018</v>
      </c>
      <c r="I159" s="1" t="s">
        <v>9</v>
      </c>
      <c r="J159" s="5" t="str">
        <f t="shared" si="8"/>
        <v>Excellent</v>
      </c>
    </row>
    <row r="160" spans="1:10" ht="14.4" x14ac:dyDescent="0.3">
      <c r="A160" s="1" t="s">
        <v>333</v>
      </c>
      <c r="B160" s="1" t="str">
        <f t="shared" si="6"/>
        <v>Player's</v>
      </c>
      <c r="C160" s="1" t="s">
        <v>334</v>
      </c>
      <c r="D160" s="2">
        <v>4.8</v>
      </c>
      <c r="E160" s="2">
        <v>16990</v>
      </c>
      <c r="F160" s="2">
        <v>27</v>
      </c>
      <c r="G160" s="2" t="str">
        <f t="shared" si="7"/>
        <v>High Price</v>
      </c>
      <c r="H160" s="2">
        <v>2018</v>
      </c>
      <c r="I160" s="1" t="s">
        <v>12</v>
      </c>
      <c r="J160" s="5" t="str">
        <f t="shared" si="8"/>
        <v>Excellent</v>
      </c>
    </row>
    <row r="161" spans="1:10" ht="14.4" x14ac:dyDescent="0.3">
      <c r="A161" s="1" t="s">
        <v>351</v>
      </c>
      <c r="B161" s="1" t="str">
        <f t="shared" si="6"/>
        <v>Salt,</v>
      </c>
      <c r="C161" s="1" t="s">
        <v>352</v>
      </c>
      <c r="D161" s="2">
        <v>4.8</v>
      </c>
      <c r="E161" s="2">
        <v>7802</v>
      </c>
      <c r="F161" s="2">
        <v>20</v>
      </c>
      <c r="G161" s="2" t="str">
        <f t="shared" si="7"/>
        <v>High Price</v>
      </c>
      <c r="H161" s="2">
        <v>2018</v>
      </c>
      <c r="I161" s="1" t="s">
        <v>9</v>
      </c>
      <c r="J161" s="5" t="str">
        <f t="shared" si="8"/>
        <v>Excellent</v>
      </c>
    </row>
    <row r="162" spans="1:10" ht="14.4" x14ac:dyDescent="0.3">
      <c r="A162" s="1" t="s">
        <v>355</v>
      </c>
      <c r="B162" s="1" t="str">
        <f t="shared" si="6"/>
        <v>School</v>
      </c>
      <c r="C162" s="1" t="s">
        <v>356</v>
      </c>
      <c r="D162" s="2">
        <v>4.8</v>
      </c>
      <c r="E162" s="2">
        <v>23047</v>
      </c>
      <c r="F162" s="2">
        <v>6</v>
      </c>
      <c r="G162" s="2" t="str">
        <f t="shared" si="7"/>
        <v>Normal Price</v>
      </c>
      <c r="H162" s="2">
        <v>2018</v>
      </c>
      <c r="I162" s="1" t="s">
        <v>9</v>
      </c>
      <c r="J162" s="5" t="str">
        <f t="shared" si="8"/>
        <v>Excellent</v>
      </c>
    </row>
    <row r="163" spans="1:10" ht="14.4" x14ac:dyDescent="0.3">
      <c r="A163" s="1" t="s">
        <v>360</v>
      </c>
      <c r="B163" s="1" t="str">
        <f t="shared" si="6"/>
        <v>Ship</v>
      </c>
      <c r="C163" s="1" t="s">
        <v>361</v>
      </c>
      <c r="D163" s="2">
        <v>4.8</v>
      </c>
      <c r="E163" s="2">
        <v>3923</v>
      </c>
      <c r="F163" s="2">
        <v>16</v>
      </c>
      <c r="G163" s="2" t="str">
        <f t="shared" si="7"/>
        <v>High Price</v>
      </c>
      <c r="H163" s="2">
        <v>2018</v>
      </c>
      <c r="I163" s="1" t="s">
        <v>9</v>
      </c>
      <c r="J163" s="5" t="str">
        <f t="shared" si="8"/>
        <v>Excellent</v>
      </c>
    </row>
    <row r="164" spans="1:10" ht="14.4" x14ac:dyDescent="0.3">
      <c r="A164" s="1" t="s">
        <v>385</v>
      </c>
      <c r="B164" s="1" t="str">
        <f t="shared" si="6"/>
        <v>The</v>
      </c>
      <c r="C164" s="1" t="s">
        <v>384</v>
      </c>
      <c r="D164" s="2">
        <v>4.8</v>
      </c>
      <c r="E164" s="2">
        <v>25554</v>
      </c>
      <c r="F164" s="2">
        <v>8</v>
      </c>
      <c r="G164" s="2" t="str">
        <f t="shared" si="7"/>
        <v>Normal Price</v>
      </c>
      <c r="H164" s="2">
        <v>2018</v>
      </c>
      <c r="I164" s="1" t="s">
        <v>9</v>
      </c>
      <c r="J164" s="5" t="str">
        <f t="shared" si="8"/>
        <v>Excellent</v>
      </c>
    </row>
    <row r="165" spans="1:10" ht="14.4" x14ac:dyDescent="0.3">
      <c r="A165" s="1" t="s">
        <v>454</v>
      </c>
      <c r="B165" s="1" t="str">
        <f t="shared" si="6"/>
        <v>The</v>
      </c>
      <c r="C165" s="1" t="s">
        <v>455</v>
      </c>
      <c r="D165" s="2">
        <v>4.8</v>
      </c>
      <c r="E165" s="2">
        <v>9947</v>
      </c>
      <c r="F165" s="2">
        <v>11</v>
      </c>
      <c r="G165" s="2" t="str">
        <f t="shared" si="7"/>
        <v>High Price</v>
      </c>
      <c r="H165" s="2">
        <v>2018</v>
      </c>
      <c r="I165" s="1" t="s">
        <v>12</v>
      </c>
      <c r="J165" s="5" t="str">
        <f t="shared" si="8"/>
        <v>Excellent</v>
      </c>
    </row>
    <row r="166" spans="1:10" ht="14.4" x14ac:dyDescent="0.3">
      <c r="A166" s="1" t="s">
        <v>487</v>
      </c>
      <c r="B166" s="1" t="str">
        <f t="shared" si="6"/>
        <v>The</v>
      </c>
      <c r="C166" s="1" t="s">
        <v>79</v>
      </c>
      <c r="D166" s="2">
        <v>4.8</v>
      </c>
      <c r="E166" s="2">
        <v>5898</v>
      </c>
      <c r="F166" s="2">
        <v>8</v>
      </c>
      <c r="G166" s="2" t="str">
        <f t="shared" si="7"/>
        <v>Normal Price</v>
      </c>
      <c r="H166" s="2">
        <v>2018</v>
      </c>
      <c r="I166" s="1" t="s">
        <v>12</v>
      </c>
      <c r="J166" s="5" t="str">
        <f t="shared" si="8"/>
        <v>Excellent</v>
      </c>
    </row>
    <row r="167" spans="1:10" ht="14.4" x14ac:dyDescent="0.3">
      <c r="A167" s="1" t="s">
        <v>504</v>
      </c>
      <c r="B167" s="1" t="str">
        <f t="shared" si="6"/>
        <v>The</v>
      </c>
      <c r="C167" s="1" t="s">
        <v>505</v>
      </c>
      <c r="D167" s="2">
        <v>4.8</v>
      </c>
      <c r="E167" s="2">
        <v>9784</v>
      </c>
      <c r="F167" s="2">
        <v>5</v>
      </c>
      <c r="G167" s="2" t="str">
        <f t="shared" si="7"/>
        <v>Normal Price</v>
      </c>
      <c r="H167" s="2">
        <v>2018</v>
      </c>
      <c r="I167" s="1" t="s">
        <v>12</v>
      </c>
      <c r="J167" s="5" t="str">
        <f t="shared" si="8"/>
        <v>Excellent</v>
      </c>
    </row>
    <row r="168" spans="1:10" ht="14.4" x14ac:dyDescent="0.3">
      <c r="A168" s="1" t="s">
        <v>540</v>
      </c>
      <c r="B168" s="1" t="str">
        <f t="shared" si="6"/>
        <v>The</v>
      </c>
      <c r="C168" s="1" t="s">
        <v>541</v>
      </c>
      <c r="D168" s="2">
        <v>4.8</v>
      </c>
      <c r="E168" s="2">
        <v>30183</v>
      </c>
      <c r="F168" s="2">
        <v>4</v>
      </c>
      <c r="G168" s="2" t="str">
        <f t="shared" si="7"/>
        <v>Normal Price</v>
      </c>
      <c r="H168" s="2">
        <v>2018</v>
      </c>
      <c r="I168" s="1" t="s">
        <v>12</v>
      </c>
      <c r="J168" s="5" t="str">
        <f t="shared" si="8"/>
        <v>Excellent</v>
      </c>
    </row>
    <row r="169" spans="1:10" ht="14.4" x14ac:dyDescent="0.3">
      <c r="A169" s="1" t="s">
        <v>17</v>
      </c>
      <c r="B169" s="1" t="str">
        <f t="shared" si="6"/>
        <v>5,000</v>
      </c>
      <c r="C169" s="1" t="s">
        <v>18</v>
      </c>
      <c r="D169" s="2">
        <v>4.8</v>
      </c>
      <c r="E169" s="2">
        <v>7665</v>
      </c>
      <c r="F169" s="2">
        <v>12</v>
      </c>
      <c r="G169" s="2" t="str">
        <f t="shared" si="7"/>
        <v>High Price</v>
      </c>
      <c r="H169" s="2">
        <v>2019</v>
      </c>
      <c r="I169" s="1" t="s">
        <v>9</v>
      </c>
      <c r="J169" s="5" t="str">
        <f t="shared" si="8"/>
        <v>Excellent</v>
      </c>
    </row>
    <row r="170" spans="1:10" ht="14.4" x14ac:dyDescent="0.3">
      <c r="A170" s="1" t="s">
        <v>65</v>
      </c>
      <c r="B170" s="1" t="str">
        <f t="shared" si="6"/>
        <v>Becoming</v>
      </c>
      <c r="C170" s="1" t="s">
        <v>66</v>
      </c>
      <c r="D170" s="2">
        <v>4.8</v>
      </c>
      <c r="E170" s="2">
        <v>61133</v>
      </c>
      <c r="F170" s="2">
        <v>11</v>
      </c>
      <c r="G170" s="2" t="str">
        <f t="shared" si="7"/>
        <v>High Price</v>
      </c>
      <c r="H170" s="2">
        <v>2019</v>
      </c>
      <c r="I170" s="1" t="s">
        <v>9</v>
      </c>
      <c r="J170" s="5" t="str">
        <f t="shared" si="8"/>
        <v>Excellent</v>
      </c>
    </row>
    <row r="171" spans="1:10" ht="14.4" x14ac:dyDescent="0.3">
      <c r="A171" s="1" t="s">
        <v>82</v>
      </c>
      <c r="B171" s="1" t="str">
        <f t="shared" si="6"/>
        <v>Can't</v>
      </c>
      <c r="C171" s="1" t="s">
        <v>83</v>
      </c>
      <c r="D171" s="2">
        <v>4.8</v>
      </c>
      <c r="E171" s="2">
        <v>16244</v>
      </c>
      <c r="F171" s="2">
        <v>18</v>
      </c>
      <c r="G171" s="2" t="str">
        <f t="shared" si="7"/>
        <v>High Price</v>
      </c>
      <c r="H171" s="2">
        <v>2019</v>
      </c>
      <c r="I171" s="1" t="s">
        <v>9</v>
      </c>
      <c r="J171" s="5" t="str">
        <f t="shared" si="8"/>
        <v>Excellent</v>
      </c>
    </row>
    <row r="172" spans="1:10" ht="14.4" x14ac:dyDescent="0.3">
      <c r="A172" s="1" t="s">
        <v>176</v>
      </c>
      <c r="B172" s="1" t="str">
        <f t="shared" si="6"/>
        <v>Giraffes</v>
      </c>
      <c r="C172" s="1" t="s">
        <v>177</v>
      </c>
      <c r="D172" s="2">
        <v>4.8</v>
      </c>
      <c r="E172" s="2">
        <v>14038</v>
      </c>
      <c r="F172" s="2">
        <v>4</v>
      </c>
      <c r="G172" s="2" t="str">
        <f t="shared" si="7"/>
        <v>Normal Price</v>
      </c>
      <c r="H172" s="2">
        <v>2019</v>
      </c>
      <c r="I172" s="1" t="s">
        <v>12</v>
      </c>
      <c r="J172" s="5" t="str">
        <f t="shared" si="8"/>
        <v>Excellent</v>
      </c>
    </row>
    <row r="173" spans="1:10" ht="14.4" x14ac:dyDescent="0.3">
      <c r="A173" s="1" t="s">
        <v>194</v>
      </c>
      <c r="B173" s="1" t="str">
        <f t="shared" si="6"/>
        <v>Goodnight</v>
      </c>
      <c r="C173" s="1" t="s">
        <v>195</v>
      </c>
      <c r="D173" s="2">
        <v>4.8</v>
      </c>
      <c r="E173" s="2">
        <v>8837</v>
      </c>
      <c r="F173" s="2">
        <v>5</v>
      </c>
      <c r="G173" s="2" t="str">
        <f t="shared" si="7"/>
        <v>Normal Price</v>
      </c>
      <c r="H173" s="2">
        <v>2019</v>
      </c>
      <c r="I173" s="1" t="s">
        <v>12</v>
      </c>
      <c r="J173" s="5" t="str">
        <f t="shared" si="8"/>
        <v>Excellent</v>
      </c>
    </row>
    <row r="174" spans="1:10" ht="14.4" x14ac:dyDescent="0.3">
      <c r="A174" s="1" t="s">
        <v>201</v>
      </c>
      <c r="B174" s="1" t="str">
        <f t="shared" si="6"/>
        <v>Guts</v>
      </c>
      <c r="C174" s="1" t="s">
        <v>202</v>
      </c>
      <c r="D174" s="2">
        <v>4.8</v>
      </c>
      <c r="E174" s="2">
        <v>5476</v>
      </c>
      <c r="F174" s="2">
        <v>7</v>
      </c>
      <c r="G174" s="2" t="str">
        <f t="shared" si="7"/>
        <v>Normal Price</v>
      </c>
      <c r="H174" s="2">
        <v>2019</v>
      </c>
      <c r="I174" s="1" t="s">
        <v>9</v>
      </c>
      <c r="J174" s="5" t="str">
        <f t="shared" si="8"/>
        <v>Excellent</v>
      </c>
    </row>
    <row r="175" spans="1:10" ht="14.4" x14ac:dyDescent="0.3">
      <c r="A175" s="1" t="s">
        <v>233</v>
      </c>
      <c r="B175" s="1" t="str">
        <f t="shared" si="6"/>
        <v>I</v>
      </c>
      <c r="C175" s="1" t="s">
        <v>234</v>
      </c>
      <c r="D175" s="2">
        <v>4.8</v>
      </c>
      <c r="E175" s="2">
        <v>9737</v>
      </c>
      <c r="F175" s="2">
        <v>7</v>
      </c>
      <c r="G175" s="2" t="str">
        <f t="shared" si="7"/>
        <v>Normal Price</v>
      </c>
      <c r="H175" s="2">
        <v>2019</v>
      </c>
      <c r="I175" s="1" t="s">
        <v>9</v>
      </c>
      <c r="J175" s="5" t="str">
        <f t="shared" si="8"/>
        <v>Excellent</v>
      </c>
    </row>
    <row r="176" spans="1:10" ht="14.4" x14ac:dyDescent="0.3">
      <c r="A176" s="1" t="s">
        <v>237</v>
      </c>
      <c r="B176" s="1" t="str">
        <f t="shared" si="6"/>
        <v>If</v>
      </c>
      <c r="C176" s="1" t="s">
        <v>238</v>
      </c>
      <c r="D176" s="2">
        <v>4.8</v>
      </c>
      <c r="E176" s="2">
        <v>16643</v>
      </c>
      <c r="F176" s="2">
        <v>4</v>
      </c>
      <c r="G176" s="2" t="str">
        <f t="shared" si="7"/>
        <v>Normal Price</v>
      </c>
      <c r="H176" s="2">
        <v>2019</v>
      </c>
      <c r="I176" s="1" t="s">
        <v>12</v>
      </c>
      <c r="J176" s="5" t="str">
        <f t="shared" si="8"/>
        <v>Excellent</v>
      </c>
    </row>
    <row r="177" spans="1:10" ht="14.4" x14ac:dyDescent="0.3">
      <c r="A177" s="1" t="s">
        <v>249</v>
      </c>
      <c r="B177" s="1" t="str">
        <f t="shared" si="6"/>
        <v>It's</v>
      </c>
      <c r="C177" s="1" t="s">
        <v>250</v>
      </c>
      <c r="D177" s="2">
        <v>4.8</v>
      </c>
      <c r="E177" s="2">
        <v>7062</v>
      </c>
      <c r="F177" s="2">
        <v>12</v>
      </c>
      <c r="G177" s="2" t="str">
        <f t="shared" si="7"/>
        <v>High Price</v>
      </c>
      <c r="H177" s="2">
        <v>2019</v>
      </c>
      <c r="I177" s="1" t="s">
        <v>9</v>
      </c>
      <c r="J177" s="5" t="str">
        <f t="shared" si="8"/>
        <v>Excellent</v>
      </c>
    </row>
    <row r="178" spans="1:10" ht="14.4" x14ac:dyDescent="0.3">
      <c r="A178" s="1" t="s">
        <v>306</v>
      </c>
      <c r="B178" s="1" t="str">
        <f t="shared" si="6"/>
        <v>National</v>
      </c>
      <c r="C178" s="1" t="s">
        <v>307</v>
      </c>
      <c r="D178" s="2">
        <v>4.8</v>
      </c>
      <c r="E178" s="2">
        <v>5347</v>
      </c>
      <c r="F178" s="2">
        <v>16</v>
      </c>
      <c r="G178" s="2" t="str">
        <f t="shared" si="7"/>
        <v>High Price</v>
      </c>
      <c r="H178" s="2">
        <v>2019</v>
      </c>
      <c r="I178" s="1" t="s">
        <v>9</v>
      </c>
      <c r="J178" s="5" t="str">
        <f t="shared" si="8"/>
        <v>Excellent</v>
      </c>
    </row>
    <row r="179" spans="1:10" ht="14.4" x14ac:dyDescent="0.3">
      <c r="A179" s="1" t="s">
        <v>308</v>
      </c>
      <c r="B179" s="1" t="str">
        <f t="shared" si="6"/>
        <v>National</v>
      </c>
      <c r="C179" s="1" t="s">
        <v>309</v>
      </c>
      <c r="D179" s="2">
        <v>4.8</v>
      </c>
      <c r="E179" s="2">
        <v>7866</v>
      </c>
      <c r="F179" s="2">
        <v>11</v>
      </c>
      <c r="G179" s="2" t="str">
        <f t="shared" si="7"/>
        <v>High Price</v>
      </c>
      <c r="H179" s="2">
        <v>2019</v>
      </c>
      <c r="I179" s="1" t="s">
        <v>9</v>
      </c>
      <c r="J179" s="5" t="str">
        <f t="shared" si="8"/>
        <v>Excellent</v>
      </c>
    </row>
    <row r="180" spans="1:10" ht="14.4" x14ac:dyDescent="0.3">
      <c r="A180" s="1" t="s">
        <v>333</v>
      </c>
      <c r="B180" s="1" t="str">
        <f t="shared" si="6"/>
        <v>Player's</v>
      </c>
      <c r="C180" s="1" t="s">
        <v>334</v>
      </c>
      <c r="D180" s="2">
        <v>4.8</v>
      </c>
      <c r="E180" s="2">
        <v>16990</v>
      </c>
      <c r="F180" s="2">
        <v>27</v>
      </c>
      <c r="G180" s="2" t="str">
        <f t="shared" si="7"/>
        <v>High Price</v>
      </c>
      <c r="H180" s="2">
        <v>2019</v>
      </c>
      <c r="I180" s="1" t="s">
        <v>12</v>
      </c>
      <c r="J180" s="5" t="str">
        <f t="shared" si="8"/>
        <v>Excellent</v>
      </c>
    </row>
    <row r="181" spans="1:10" ht="14.4" x14ac:dyDescent="0.3">
      <c r="A181" s="1" t="s">
        <v>351</v>
      </c>
      <c r="B181" s="1" t="str">
        <f t="shared" si="6"/>
        <v>Salt,</v>
      </c>
      <c r="C181" s="1" t="s">
        <v>352</v>
      </c>
      <c r="D181" s="2">
        <v>4.8</v>
      </c>
      <c r="E181" s="2">
        <v>7802</v>
      </c>
      <c r="F181" s="2">
        <v>20</v>
      </c>
      <c r="G181" s="2" t="str">
        <f t="shared" si="7"/>
        <v>High Price</v>
      </c>
      <c r="H181" s="2">
        <v>2019</v>
      </c>
      <c r="I181" s="1" t="s">
        <v>9</v>
      </c>
      <c r="J181" s="5" t="str">
        <f t="shared" si="8"/>
        <v>Excellent</v>
      </c>
    </row>
    <row r="182" spans="1:10" ht="14.4" x14ac:dyDescent="0.3">
      <c r="A182" s="1" t="s">
        <v>355</v>
      </c>
      <c r="B182" s="1" t="str">
        <f t="shared" si="6"/>
        <v>School</v>
      </c>
      <c r="C182" s="1" t="s">
        <v>356</v>
      </c>
      <c r="D182" s="2">
        <v>4.8</v>
      </c>
      <c r="E182" s="2">
        <v>23047</v>
      </c>
      <c r="F182" s="2">
        <v>6</v>
      </c>
      <c r="G182" s="2" t="str">
        <f t="shared" si="7"/>
        <v>Normal Price</v>
      </c>
      <c r="H182" s="2">
        <v>2019</v>
      </c>
      <c r="I182" s="1" t="s">
        <v>9</v>
      </c>
      <c r="J182" s="5" t="str">
        <f t="shared" si="8"/>
        <v>Excellent</v>
      </c>
    </row>
    <row r="183" spans="1:10" ht="14.4" x14ac:dyDescent="0.3">
      <c r="A183" s="1" t="s">
        <v>385</v>
      </c>
      <c r="B183" s="1" t="str">
        <f t="shared" si="6"/>
        <v>The</v>
      </c>
      <c r="C183" s="1" t="s">
        <v>384</v>
      </c>
      <c r="D183" s="2">
        <v>4.8</v>
      </c>
      <c r="E183" s="2">
        <v>25554</v>
      </c>
      <c r="F183" s="2">
        <v>8</v>
      </c>
      <c r="G183" s="2" t="str">
        <f t="shared" si="7"/>
        <v>Normal Price</v>
      </c>
      <c r="H183" s="2">
        <v>2019</v>
      </c>
      <c r="I183" s="1" t="s">
        <v>9</v>
      </c>
      <c r="J183" s="5" t="str">
        <f t="shared" si="8"/>
        <v>Excellent</v>
      </c>
    </row>
    <row r="184" spans="1:10" ht="14.4" x14ac:dyDescent="0.3">
      <c r="A184" s="1" t="s">
        <v>401</v>
      </c>
      <c r="B184" s="1" t="str">
        <f t="shared" si="6"/>
        <v>The</v>
      </c>
      <c r="C184" s="1" t="s">
        <v>402</v>
      </c>
      <c r="D184" s="2">
        <v>4.8</v>
      </c>
      <c r="E184" s="2">
        <v>12361</v>
      </c>
      <c r="F184" s="2">
        <v>12</v>
      </c>
      <c r="G184" s="2" t="str">
        <f t="shared" si="7"/>
        <v>High Price</v>
      </c>
      <c r="H184" s="2">
        <v>2019</v>
      </c>
      <c r="I184" s="1" t="s">
        <v>9</v>
      </c>
      <c r="J184" s="5" t="str">
        <f t="shared" si="8"/>
        <v>Excellent</v>
      </c>
    </row>
    <row r="185" spans="1:10" ht="14.4" x14ac:dyDescent="0.3">
      <c r="A185" s="1" t="s">
        <v>540</v>
      </c>
      <c r="B185" s="1" t="str">
        <f t="shared" si="6"/>
        <v>The</v>
      </c>
      <c r="C185" s="1" t="s">
        <v>541</v>
      </c>
      <c r="D185" s="2">
        <v>4.8</v>
      </c>
      <c r="E185" s="2">
        <v>30183</v>
      </c>
      <c r="F185" s="2">
        <v>4</v>
      </c>
      <c r="G185" s="2" t="str">
        <f t="shared" si="7"/>
        <v>Normal Price</v>
      </c>
      <c r="H185" s="2">
        <v>2019</v>
      </c>
      <c r="I185" s="1" t="s">
        <v>12</v>
      </c>
      <c r="J185" s="5" t="str">
        <f t="shared" si="8"/>
        <v>Excellent</v>
      </c>
    </row>
    <row r="186" spans="1:10" ht="14.4" x14ac:dyDescent="0.3">
      <c r="A186" s="1" t="s">
        <v>558</v>
      </c>
      <c r="B186" s="1" t="str">
        <f t="shared" si="6"/>
        <v>To</v>
      </c>
      <c r="C186" s="1" t="s">
        <v>183</v>
      </c>
      <c r="D186" s="2">
        <v>4.8</v>
      </c>
      <c r="E186" s="2">
        <v>26234</v>
      </c>
      <c r="F186" s="2">
        <v>7</v>
      </c>
      <c r="G186" s="2" t="str">
        <f t="shared" si="7"/>
        <v>Normal Price</v>
      </c>
      <c r="H186" s="2">
        <v>2019</v>
      </c>
      <c r="I186" s="1" t="s">
        <v>12</v>
      </c>
      <c r="J186" s="5" t="str">
        <f t="shared" si="8"/>
        <v>Excellent</v>
      </c>
    </row>
    <row r="187" spans="1:10" ht="14.4" x14ac:dyDescent="0.3">
      <c r="A187" s="1" t="s">
        <v>570</v>
      </c>
      <c r="B187" s="1" t="str">
        <f t="shared" si="6"/>
        <v>Unicorn</v>
      </c>
      <c r="C187" s="1" t="s">
        <v>571</v>
      </c>
      <c r="D187" s="2">
        <v>4.8</v>
      </c>
      <c r="E187" s="2">
        <v>6108</v>
      </c>
      <c r="F187" s="2">
        <v>4</v>
      </c>
      <c r="G187" s="2" t="str">
        <f t="shared" si="7"/>
        <v>Normal Price</v>
      </c>
      <c r="H187" s="2">
        <v>2019</v>
      </c>
      <c r="I187" s="1" t="s">
        <v>9</v>
      </c>
      <c r="J187" s="5" t="str">
        <f t="shared" si="8"/>
        <v>Excellent</v>
      </c>
    </row>
    <row r="188" spans="1:10" ht="14.4" x14ac:dyDescent="0.3">
      <c r="A188" s="1" t="s">
        <v>582</v>
      </c>
      <c r="B188" s="1" t="str">
        <f t="shared" si="6"/>
        <v>What</v>
      </c>
      <c r="C188" s="1" t="s">
        <v>583</v>
      </c>
      <c r="D188" s="2">
        <v>4.8</v>
      </c>
      <c r="E188" s="2">
        <v>8170</v>
      </c>
      <c r="F188" s="2">
        <v>13</v>
      </c>
      <c r="G188" s="2" t="str">
        <f t="shared" si="7"/>
        <v>High Price</v>
      </c>
      <c r="H188" s="2">
        <v>2019</v>
      </c>
      <c r="I188" s="1" t="s">
        <v>12</v>
      </c>
      <c r="J188" s="5" t="str">
        <f t="shared" si="8"/>
        <v>Excellent</v>
      </c>
    </row>
    <row r="189" spans="1:10" ht="14.4" x14ac:dyDescent="0.3">
      <c r="A189" s="1" t="s">
        <v>590</v>
      </c>
      <c r="B189" s="1" t="str">
        <f t="shared" si="6"/>
        <v>Where</v>
      </c>
      <c r="C189" s="1" t="s">
        <v>591</v>
      </c>
      <c r="D189" s="2">
        <v>4.8</v>
      </c>
      <c r="E189" s="2">
        <v>87841</v>
      </c>
      <c r="F189" s="2">
        <v>15</v>
      </c>
      <c r="G189" s="2" t="str">
        <f t="shared" si="7"/>
        <v>High Price</v>
      </c>
      <c r="H189" s="2">
        <v>2019</v>
      </c>
      <c r="I189" s="1" t="s">
        <v>12</v>
      </c>
      <c r="J189" s="5" t="str">
        <f t="shared" si="8"/>
        <v>Excellent</v>
      </c>
    </row>
    <row r="190" spans="1:10" ht="13.2" x14ac:dyDescent="0.25">
      <c r="A190" s="3" t="s">
        <v>590</v>
      </c>
      <c r="B190" s="3" t="str">
        <f t="shared" si="6"/>
        <v>Where</v>
      </c>
      <c r="C190" s="3" t="s">
        <v>591</v>
      </c>
      <c r="D190" s="3">
        <v>4.8</v>
      </c>
      <c r="E190" s="3">
        <v>120727</v>
      </c>
      <c r="F190" s="3">
        <v>9</v>
      </c>
      <c r="G190" s="3" t="str">
        <f t="shared" si="7"/>
        <v>Normal Price</v>
      </c>
      <c r="H190" s="3">
        <v>2020</v>
      </c>
      <c r="I190" s="3" t="s">
        <v>12</v>
      </c>
      <c r="J190" s="5" t="str">
        <f t="shared" si="8"/>
        <v>Excellent</v>
      </c>
    </row>
    <row r="191" spans="1:10" ht="13.2" x14ac:dyDescent="0.25">
      <c r="A191" s="3" t="s">
        <v>611</v>
      </c>
      <c r="B191" s="3" t="str">
        <f t="shared" si="6"/>
        <v>My</v>
      </c>
      <c r="C191" s="3" t="s">
        <v>612</v>
      </c>
      <c r="D191" s="3">
        <v>4.8</v>
      </c>
      <c r="E191" s="3">
        <v>45694</v>
      </c>
      <c r="F191" s="3">
        <v>15</v>
      </c>
      <c r="G191" s="3" t="str">
        <f t="shared" si="7"/>
        <v>High Price</v>
      </c>
      <c r="H191" s="3">
        <v>2020</v>
      </c>
      <c r="I191" s="3" t="s">
        <v>9</v>
      </c>
      <c r="J191" s="5" t="str">
        <f t="shared" si="8"/>
        <v>Excellent</v>
      </c>
    </row>
    <row r="192" spans="1:10" ht="13.2" x14ac:dyDescent="0.25">
      <c r="A192" s="3" t="s">
        <v>613</v>
      </c>
      <c r="B192" s="3" t="str">
        <f t="shared" si="6"/>
        <v>Midnight</v>
      </c>
      <c r="C192" s="3" t="s">
        <v>74</v>
      </c>
      <c r="D192" s="3">
        <v>4.8</v>
      </c>
      <c r="E192" s="3">
        <v>64215</v>
      </c>
      <c r="F192" s="3">
        <v>13</v>
      </c>
      <c r="G192" s="3" t="str">
        <f t="shared" si="7"/>
        <v>High Price</v>
      </c>
      <c r="H192" s="3">
        <v>2020</v>
      </c>
      <c r="I192" s="3" t="s">
        <v>12</v>
      </c>
      <c r="J192" s="5" t="str">
        <f t="shared" si="8"/>
        <v>Excellent</v>
      </c>
    </row>
    <row r="193" spans="1:10" ht="13.2" x14ac:dyDescent="0.25">
      <c r="A193" s="3" t="s">
        <v>614</v>
      </c>
      <c r="B193" s="3" t="str">
        <f t="shared" si="6"/>
        <v>Untamed</v>
      </c>
      <c r="C193" s="3" t="s">
        <v>615</v>
      </c>
      <c r="D193" s="3">
        <v>4.8</v>
      </c>
      <c r="E193" s="3">
        <v>41567</v>
      </c>
      <c r="F193" s="3">
        <v>15</v>
      </c>
      <c r="G193" s="3" t="str">
        <f t="shared" si="7"/>
        <v>High Price</v>
      </c>
      <c r="H193" s="3">
        <v>2020</v>
      </c>
      <c r="I193" s="3" t="s">
        <v>9</v>
      </c>
      <c r="J193" s="5" t="str">
        <f t="shared" si="8"/>
        <v>Excellent</v>
      </c>
    </row>
    <row r="194" spans="1:10" ht="13.2" x14ac:dyDescent="0.25">
      <c r="A194" s="3" t="s">
        <v>356</v>
      </c>
      <c r="B194" s="3" t="str">
        <f t="shared" ref="B194:B257" si="9">LEFT(A194,FIND(" ",A194&amp;" ")-1)</f>
        <v>School</v>
      </c>
      <c r="C194" s="3" t="s">
        <v>356</v>
      </c>
      <c r="D194" s="3">
        <v>4.8</v>
      </c>
      <c r="E194" s="3">
        <v>45485</v>
      </c>
      <c r="F194" s="3">
        <v>8</v>
      </c>
      <c r="G194" s="3" t="str">
        <f t="shared" ref="G194:G257" si="10">IF(F194&gt;10,"High Price","Normal Price")</f>
        <v>Normal Price</v>
      </c>
      <c r="H194" s="3">
        <v>2020</v>
      </c>
      <c r="I194" s="3" t="s">
        <v>12</v>
      </c>
      <c r="J194" s="5" t="str">
        <f t="shared" ref="J194:J257" si="11">IF(D194&gt;=4.5,"Excellent",IF(D194&gt;=4,"Good","Average"))</f>
        <v>Excellent</v>
      </c>
    </row>
    <row r="195" spans="1:10" ht="13.2" x14ac:dyDescent="0.25">
      <c r="A195" s="3" t="s">
        <v>622</v>
      </c>
      <c r="B195" s="3" t="str">
        <f t="shared" si="9"/>
        <v>Becoming</v>
      </c>
      <c r="C195" s="3" t="s">
        <v>66</v>
      </c>
      <c r="D195" s="3">
        <v>4.8</v>
      </c>
      <c r="E195" s="3">
        <v>99498</v>
      </c>
      <c r="F195" s="3">
        <v>10</v>
      </c>
      <c r="G195" s="3" t="str">
        <f t="shared" si="10"/>
        <v>Normal Price</v>
      </c>
      <c r="H195" s="3">
        <v>2020</v>
      </c>
      <c r="I195" s="3" t="s">
        <v>9</v>
      </c>
      <c r="J195" s="5" t="str">
        <f t="shared" si="11"/>
        <v>Excellent</v>
      </c>
    </row>
    <row r="196" spans="1:10" ht="13.2" x14ac:dyDescent="0.25">
      <c r="A196" s="3" t="s">
        <v>623</v>
      </c>
      <c r="B196" s="3" t="str">
        <f t="shared" si="9"/>
        <v>How</v>
      </c>
      <c r="C196" s="3" t="s">
        <v>624</v>
      </c>
      <c r="D196" s="3">
        <v>4.8</v>
      </c>
      <c r="E196" s="3">
        <v>19555</v>
      </c>
      <c r="F196" s="3">
        <v>13</v>
      </c>
      <c r="G196" s="3" t="str">
        <f t="shared" si="10"/>
        <v>High Price</v>
      </c>
      <c r="H196" s="3">
        <v>2020</v>
      </c>
      <c r="I196" s="3" t="s">
        <v>9</v>
      </c>
      <c r="J196" s="5" t="str">
        <f t="shared" si="11"/>
        <v>Excellent</v>
      </c>
    </row>
    <row r="197" spans="1:10" ht="13.2" x14ac:dyDescent="0.25">
      <c r="A197" s="3" t="s">
        <v>628</v>
      </c>
      <c r="B197" s="3" t="str">
        <f t="shared" si="9"/>
        <v>Caste</v>
      </c>
      <c r="C197" s="3" t="s">
        <v>629</v>
      </c>
      <c r="D197" s="3">
        <v>4.8</v>
      </c>
      <c r="E197" s="3">
        <v>21967</v>
      </c>
      <c r="F197" s="3">
        <v>19</v>
      </c>
      <c r="G197" s="3" t="str">
        <f t="shared" si="10"/>
        <v>High Price</v>
      </c>
      <c r="H197" s="3">
        <v>2020</v>
      </c>
      <c r="I197" s="3" t="s">
        <v>9</v>
      </c>
      <c r="J197" s="5" t="str">
        <f t="shared" si="11"/>
        <v>Excellent</v>
      </c>
    </row>
    <row r="198" spans="1:10" ht="13.2" x14ac:dyDescent="0.25">
      <c r="A198" s="3" t="s">
        <v>233</v>
      </c>
      <c r="B198" s="3" t="str">
        <f t="shared" si="9"/>
        <v>I</v>
      </c>
      <c r="C198" s="3" t="s">
        <v>234</v>
      </c>
      <c r="D198" s="3">
        <v>4.8</v>
      </c>
      <c r="E198" s="3">
        <v>20485</v>
      </c>
      <c r="F198" s="3">
        <v>9</v>
      </c>
      <c r="G198" s="3" t="str">
        <f t="shared" si="10"/>
        <v>Normal Price</v>
      </c>
      <c r="H198" s="3">
        <v>2020</v>
      </c>
      <c r="I198" s="3" t="s">
        <v>9</v>
      </c>
      <c r="J198" s="5" t="str">
        <f t="shared" si="11"/>
        <v>Excellent</v>
      </c>
    </row>
    <row r="199" spans="1:10" ht="13.2" x14ac:dyDescent="0.25">
      <c r="A199" s="3" t="s">
        <v>637</v>
      </c>
      <c r="B199" s="3" t="str">
        <f t="shared" si="9"/>
        <v>Atomic</v>
      </c>
      <c r="C199" s="3" t="s">
        <v>638</v>
      </c>
      <c r="D199" s="3">
        <v>4.8</v>
      </c>
      <c r="E199" s="3">
        <v>29634</v>
      </c>
      <c r="F199" s="3">
        <v>12</v>
      </c>
      <c r="G199" s="3" t="str">
        <f t="shared" si="10"/>
        <v>High Price</v>
      </c>
      <c r="H199" s="3">
        <v>2020</v>
      </c>
      <c r="I199" s="3" t="s">
        <v>9</v>
      </c>
      <c r="J199" s="5" t="str">
        <f t="shared" si="11"/>
        <v>Excellent</v>
      </c>
    </row>
    <row r="200" spans="1:10" ht="13.2" x14ac:dyDescent="0.25">
      <c r="A200" s="3" t="s">
        <v>641</v>
      </c>
      <c r="B200" s="3" t="str">
        <f t="shared" si="9"/>
        <v>How</v>
      </c>
      <c r="C200" s="3" t="s">
        <v>642</v>
      </c>
      <c r="D200" s="3">
        <v>4.8</v>
      </c>
      <c r="E200" s="3">
        <v>17538</v>
      </c>
      <c r="F200" s="3">
        <v>6</v>
      </c>
      <c r="G200" s="3" t="str">
        <f t="shared" si="10"/>
        <v>Normal Price</v>
      </c>
      <c r="H200" s="3">
        <v>2020</v>
      </c>
      <c r="I200" s="3" t="s">
        <v>12</v>
      </c>
      <c r="J200" s="5" t="str">
        <f t="shared" si="11"/>
        <v>Excellent</v>
      </c>
    </row>
    <row r="201" spans="1:10" ht="13.2" x14ac:dyDescent="0.25">
      <c r="A201" s="3" t="s">
        <v>645</v>
      </c>
      <c r="B201" s="3" t="str">
        <f t="shared" si="9"/>
        <v>How</v>
      </c>
      <c r="C201" s="3" t="s">
        <v>642</v>
      </c>
      <c r="D201" s="3">
        <v>4.8</v>
      </c>
      <c r="E201" s="3">
        <v>19988</v>
      </c>
      <c r="F201" s="3">
        <v>5</v>
      </c>
      <c r="G201" s="3" t="str">
        <f t="shared" si="10"/>
        <v>Normal Price</v>
      </c>
      <c r="H201" s="3">
        <v>2020</v>
      </c>
      <c r="I201" s="3" t="s">
        <v>12</v>
      </c>
      <c r="J201" s="5" t="str">
        <f t="shared" si="11"/>
        <v>Excellent</v>
      </c>
    </row>
    <row r="202" spans="1:10" ht="13.2" x14ac:dyDescent="0.25">
      <c r="A202" s="3" t="s">
        <v>176</v>
      </c>
      <c r="B202" s="3" t="str">
        <f t="shared" si="9"/>
        <v>Giraffes</v>
      </c>
      <c r="C202" s="3" t="s">
        <v>177</v>
      </c>
      <c r="D202" s="3">
        <v>4.8</v>
      </c>
      <c r="E202" s="3">
        <v>23356</v>
      </c>
      <c r="F202" s="3">
        <v>6</v>
      </c>
      <c r="G202" s="3" t="str">
        <f t="shared" si="10"/>
        <v>Normal Price</v>
      </c>
      <c r="H202" s="3">
        <v>2020</v>
      </c>
      <c r="I202" s="3" t="s">
        <v>12</v>
      </c>
      <c r="J202" s="5" t="str">
        <f t="shared" si="11"/>
        <v>Excellent</v>
      </c>
    </row>
    <row r="203" spans="1:10" ht="13.2" x14ac:dyDescent="0.25">
      <c r="A203" s="3" t="s">
        <v>385</v>
      </c>
      <c r="B203" s="3" t="str">
        <f t="shared" si="9"/>
        <v>The</v>
      </c>
      <c r="C203" s="3" t="s">
        <v>384</v>
      </c>
      <c r="D203" s="3">
        <v>4.8</v>
      </c>
      <c r="E203" s="3">
        <v>44174</v>
      </c>
      <c r="F203" s="3">
        <v>8</v>
      </c>
      <c r="G203" s="3" t="str">
        <f t="shared" si="10"/>
        <v>Normal Price</v>
      </c>
      <c r="H203" s="3">
        <v>2020</v>
      </c>
      <c r="I203" s="3" t="s">
        <v>9</v>
      </c>
      <c r="J203" s="5" t="str">
        <f t="shared" si="11"/>
        <v>Excellent</v>
      </c>
    </row>
    <row r="204" spans="1:10" ht="13.2" x14ac:dyDescent="0.25">
      <c r="A204" s="3" t="s">
        <v>650</v>
      </c>
      <c r="B204" s="3" t="str">
        <f t="shared" si="9"/>
        <v>Modern</v>
      </c>
      <c r="C204" s="3" t="s">
        <v>63</v>
      </c>
      <c r="D204" s="3">
        <v>4.8</v>
      </c>
      <c r="E204" s="3">
        <v>11769</v>
      </c>
      <c r="F204" s="3">
        <v>21</v>
      </c>
      <c r="G204" s="3" t="str">
        <f t="shared" si="10"/>
        <v>High Price</v>
      </c>
      <c r="H204" s="3">
        <v>2020</v>
      </c>
      <c r="I204" s="3" t="s">
        <v>9</v>
      </c>
      <c r="J204" s="5" t="str">
        <f t="shared" si="11"/>
        <v>Excellent</v>
      </c>
    </row>
    <row r="205" spans="1:10" ht="13.2" x14ac:dyDescent="0.25">
      <c r="A205" s="3" t="s">
        <v>651</v>
      </c>
      <c r="B205" s="3" t="str">
        <f t="shared" si="9"/>
        <v>Prayer</v>
      </c>
      <c r="C205" s="3" t="s">
        <v>652</v>
      </c>
      <c r="D205" s="3">
        <v>4.8</v>
      </c>
      <c r="E205" s="3">
        <v>26462</v>
      </c>
      <c r="F205" s="3">
        <v>10</v>
      </c>
      <c r="G205" s="3" t="str">
        <f t="shared" si="10"/>
        <v>Normal Price</v>
      </c>
      <c r="H205" s="3">
        <v>2020</v>
      </c>
      <c r="I205" s="3" t="s">
        <v>9</v>
      </c>
      <c r="J205" s="5" t="str">
        <f t="shared" si="11"/>
        <v>Excellent</v>
      </c>
    </row>
    <row r="206" spans="1:10" ht="13.2" x14ac:dyDescent="0.25">
      <c r="A206" s="3" t="s">
        <v>540</v>
      </c>
      <c r="B206" s="3" t="str">
        <f t="shared" si="9"/>
        <v>The</v>
      </c>
      <c r="C206" s="3" t="s">
        <v>541</v>
      </c>
      <c r="D206" s="3">
        <v>4.8</v>
      </c>
      <c r="E206" s="3">
        <v>51255</v>
      </c>
      <c r="F206" s="3">
        <v>5</v>
      </c>
      <c r="G206" s="3" t="str">
        <f t="shared" si="10"/>
        <v>Normal Price</v>
      </c>
      <c r="H206" s="3">
        <v>2020</v>
      </c>
      <c r="I206" s="3" t="s">
        <v>12</v>
      </c>
      <c r="J206" s="5" t="str">
        <f t="shared" si="11"/>
        <v>Excellent</v>
      </c>
    </row>
    <row r="207" spans="1:10" ht="13.2" x14ac:dyDescent="0.25">
      <c r="A207" s="3" t="s">
        <v>401</v>
      </c>
      <c r="B207" s="3" t="str">
        <f t="shared" si="9"/>
        <v>The</v>
      </c>
      <c r="C207" s="3" t="s">
        <v>402</v>
      </c>
      <c r="D207" s="3">
        <v>4.8</v>
      </c>
      <c r="E207" s="3">
        <v>24327</v>
      </c>
      <c r="F207" s="3">
        <v>8</v>
      </c>
      <c r="G207" s="3" t="str">
        <f t="shared" si="10"/>
        <v>Normal Price</v>
      </c>
      <c r="H207" s="3">
        <v>2020</v>
      </c>
      <c r="I207" s="3" t="s">
        <v>9</v>
      </c>
      <c r="J207" s="5" t="str">
        <f t="shared" si="11"/>
        <v>Excellent</v>
      </c>
    </row>
    <row r="208" spans="1:10" ht="13.2" x14ac:dyDescent="0.25">
      <c r="A208" s="3" t="s">
        <v>653</v>
      </c>
      <c r="B208" s="3" t="str">
        <f t="shared" si="9"/>
        <v>Paint</v>
      </c>
      <c r="C208" s="3" t="s">
        <v>654</v>
      </c>
      <c r="D208" s="3">
        <v>4.8</v>
      </c>
      <c r="E208" s="3">
        <v>12852</v>
      </c>
      <c r="F208" s="3">
        <v>6</v>
      </c>
      <c r="G208" s="3" t="str">
        <f t="shared" si="10"/>
        <v>Normal Price</v>
      </c>
      <c r="H208" s="3">
        <v>2020</v>
      </c>
      <c r="I208" s="3" t="s">
        <v>12</v>
      </c>
      <c r="J208" s="5" t="str">
        <f t="shared" si="11"/>
        <v>Excellent</v>
      </c>
    </row>
    <row r="209" spans="1:10" ht="13.2" x14ac:dyDescent="0.25">
      <c r="A209" s="3" t="s">
        <v>655</v>
      </c>
      <c r="B209" s="3" t="str">
        <f t="shared" si="9"/>
        <v>Paint</v>
      </c>
      <c r="C209" s="3" t="s">
        <v>654</v>
      </c>
      <c r="D209" s="3">
        <v>4.8</v>
      </c>
      <c r="E209" s="3">
        <v>12643</v>
      </c>
      <c r="F209" s="3">
        <v>9</v>
      </c>
      <c r="G209" s="3" t="str">
        <f t="shared" si="10"/>
        <v>Normal Price</v>
      </c>
      <c r="H209" s="3">
        <v>2020</v>
      </c>
      <c r="I209" s="3" t="s">
        <v>12</v>
      </c>
      <c r="J209" s="5" t="str">
        <f t="shared" si="11"/>
        <v>Excellent</v>
      </c>
    </row>
    <row r="210" spans="1:10" ht="13.2" x14ac:dyDescent="0.25">
      <c r="A210" s="3" t="s">
        <v>656</v>
      </c>
      <c r="B210" s="3" t="str">
        <f t="shared" si="9"/>
        <v>What</v>
      </c>
      <c r="C210" s="3" t="s">
        <v>583</v>
      </c>
      <c r="D210" s="3">
        <v>4.8</v>
      </c>
      <c r="E210" s="3">
        <v>14705</v>
      </c>
      <c r="F210" s="3">
        <v>13</v>
      </c>
      <c r="G210" s="3" t="str">
        <f t="shared" si="10"/>
        <v>High Price</v>
      </c>
      <c r="H210" s="3">
        <v>2020</v>
      </c>
      <c r="I210" s="3" t="s">
        <v>12</v>
      </c>
      <c r="J210" s="5" t="str">
        <f t="shared" si="11"/>
        <v>Excellent</v>
      </c>
    </row>
    <row r="211" spans="1:10" ht="13.2" x14ac:dyDescent="0.25">
      <c r="A211" s="3" t="s">
        <v>663</v>
      </c>
      <c r="B211" s="3" t="str">
        <f t="shared" si="9"/>
        <v>Live</v>
      </c>
      <c r="C211" s="3" t="s">
        <v>664</v>
      </c>
      <c r="D211" s="3">
        <v>4.8</v>
      </c>
      <c r="E211" s="3">
        <v>20153</v>
      </c>
      <c r="F211" s="3">
        <v>15</v>
      </c>
      <c r="G211" s="3" t="str">
        <f t="shared" si="10"/>
        <v>High Price</v>
      </c>
      <c r="H211" s="3">
        <v>2020</v>
      </c>
      <c r="I211" s="3" t="s">
        <v>9</v>
      </c>
      <c r="J211" s="5" t="str">
        <f t="shared" si="11"/>
        <v>Excellent</v>
      </c>
    </row>
    <row r="212" spans="1:10" ht="14.4" x14ac:dyDescent="0.3">
      <c r="A212" s="1" t="s">
        <v>90</v>
      </c>
      <c r="B212" s="1" t="str">
        <f t="shared" si="9"/>
        <v>Crazy</v>
      </c>
      <c r="C212" s="1" t="s">
        <v>91</v>
      </c>
      <c r="D212" s="2">
        <v>4.7</v>
      </c>
      <c r="E212" s="2">
        <v>1542</v>
      </c>
      <c r="F212" s="2">
        <v>14</v>
      </c>
      <c r="G212" s="2" t="str">
        <f t="shared" si="10"/>
        <v>High Price</v>
      </c>
      <c r="H212" s="2">
        <v>2009</v>
      </c>
      <c r="I212" s="1" t="s">
        <v>9</v>
      </c>
      <c r="J212" s="5" t="str">
        <f t="shared" si="11"/>
        <v>Excellent</v>
      </c>
    </row>
    <row r="213" spans="1:10" ht="14.4" x14ac:dyDescent="0.3">
      <c r="A213" s="1" t="s">
        <v>143</v>
      </c>
      <c r="B213" s="1" t="str">
        <f t="shared" si="9"/>
        <v>Eclipse</v>
      </c>
      <c r="C213" s="1" t="s">
        <v>74</v>
      </c>
      <c r="D213" s="2">
        <v>4.7</v>
      </c>
      <c r="E213" s="2">
        <v>5505</v>
      </c>
      <c r="F213" s="2">
        <v>7</v>
      </c>
      <c r="G213" s="2" t="str">
        <f t="shared" si="10"/>
        <v>Normal Price</v>
      </c>
      <c r="H213" s="2">
        <v>2009</v>
      </c>
      <c r="I213" s="1" t="s">
        <v>12</v>
      </c>
      <c r="J213" s="5" t="str">
        <f t="shared" si="11"/>
        <v>Excellent</v>
      </c>
    </row>
    <row r="214" spans="1:10" ht="14.4" x14ac:dyDescent="0.3">
      <c r="A214" s="1" t="s">
        <v>144</v>
      </c>
      <c r="B214" s="1" t="str">
        <f t="shared" si="9"/>
        <v>Eclipse</v>
      </c>
      <c r="C214" s="1" t="s">
        <v>74</v>
      </c>
      <c r="D214" s="2">
        <v>4.7</v>
      </c>
      <c r="E214" s="2">
        <v>5505</v>
      </c>
      <c r="F214" s="2">
        <v>18</v>
      </c>
      <c r="G214" s="2" t="str">
        <f t="shared" si="10"/>
        <v>High Price</v>
      </c>
      <c r="H214" s="2">
        <v>2009</v>
      </c>
      <c r="I214" s="1" t="s">
        <v>12</v>
      </c>
      <c r="J214" s="5" t="str">
        <f t="shared" si="11"/>
        <v>Excellent</v>
      </c>
    </row>
    <row r="215" spans="1:10" ht="14.4" x14ac:dyDescent="0.3">
      <c r="A215" s="1" t="s">
        <v>364</v>
      </c>
      <c r="B215" s="1" t="str">
        <f t="shared" si="9"/>
        <v>Sookie</v>
      </c>
      <c r="C215" s="1" t="s">
        <v>104</v>
      </c>
      <c r="D215" s="2">
        <v>4.7</v>
      </c>
      <c r="E215" s="2">
        <v>973</v>
      </c>
      <c r="F215" s="2">
        <v>25</v>
      </c>
      <c r="G215" s="2" t="str">
        <f t="shared" si="10"/>
        <v>High Price</v>
      </c>
      <c r="H215" s="2">
        <v>2009</v>
      </c>
      <c r="I215" s="1" t="s">
        <v>12</v>
      </c>
      <c r="J215" s="5" t="str">
        <f t="shared" si="11"/>
        <v>Excellent</v>
      </c>
    </row>
    <row r="216" spans="1:10" ht="14.4" x14ac:dyDescent="0.3">
      <c r="A216" s="1" t="s">
        <v>403</v>
      </c>
      <c r="B216" s="1" t="str">
        <f t="shared" si="9"/>
        <v>The</v>
      </c>
      <c r="C216" s="1" t="s">
        <v>404</v>
      </c>
      <c r="D216" s="2">
        <v>4.7</v>
      </c>
      <c r="E216" s="2">
        <v>858</v>
      </c>
      <c r="F216" s="2">
        <v>53</v>
      </c>
      <c r="G216" s="2" t="str">
        <f t="shared" si="10"/>
        <v>High Price</v>
      </c>
      <c r="H216" s="2">
        <v>2009</v>
      </c>
      <c r="I216" s="1" t="s">
        <v>9</v>
      </c>
      <c r="J216" s="5" t="str">
        <f t="shared" si="11"/>
        <v>Excellent</v>
      </c>
    </row>
    <row r="217" spans="1:10" ht="14.4" x14ac:dyDescent="0.3">
      <c r="A217" s="1" t="s">
        <v>439</v>
      </c>
      <c r="B217" s="1" t="str">
        <f t="shared" si="9"/>
        <v>The</v>
      </c>
      <c r="C217" s="1" t="s">
        <v>437</v>
      </c>
      <c r="D217" s="2">
        <v>4.7</v>
      </c>
      <c r="E217" s="2">
        <v>7251</v>
      </c>
      <c r="F217" s="2">
        <v>16</v>
      </c>
      <c r="G217" s="2" t="str">
        <f t="shared" si="10"/>
        <v>High Price</v>
      </c>
      <c r="H217" s="2">
        <v>2009</v>
      </c>
      <c r="I217" s="1" t="s">
        <v>12</v>
      </c>
      <c r="J217" s="5" t="str">
        <f t="shared" si="11"/>
        <v>Excellent</v>
      </c>
    </row>
    <row r="218" spans="1:10" ht="14.4" x14ac:dyDescent="0.3">
      <c r="A218" s="1" t="s">
        <v>448</v>
      </c>
      <c r="B218" s="1" t="str">
        <f t="shared" si="9"/>
        <v>The</v>
      </c>
      <c r="C218" s="1" t="s">
        <v>449</v>
      </c>
      <c r="D218" s="2">
        <v>4.7</v>
      </c>
      <c r="E218" s="2">
        <v>8587</v>
      </c>
      <c r="F218" s="2">
        <v>10</v>
      </c>
      <c r="G218" s="2" t="str">
        <f t="shared" si="10"/>
        <v>Normal Price</v>
      </c>
      <c r="H218" s="2">
        <v>2009</v>
      </c>
      <c r="I218" s="1" t="s">
        <v>12</v>
      </c>
      <c r="J218" s="5" t="str">
        <f t="shared" si="11"/>
        <v>Excellent</v>
      </c>
    </row>
    <row r="219" spans="1:10" ht="14.4" x14ac:dyDescent="0.3">
      <c r="A219" s="1" t="s">
        <v>466</v>
      </c>
      <c r="B219" s="1" t="str">
        <f t="shared" si="9"/>
        <v>The</v>
      </c>
      <c r="C219" s="1" t="s">
        <v>467</v>
      </c>
      <c r="D219" s="2">
        <v>4.7</v>
      </c>
      <c r="E219" s="2">
        <v>4028</v>
      </c>
      <c r="F219" s="2">
        <v>9</v>
      </c>
      <c r="G219" s="2" t="str">
        <f t="shared" si="10"/>
        <v>Normal Price</v>
      </c>
      <c r="H219" s="2">
        <v>2009</v>
      </c>
      <c r="I219" s="1" t="s">
        <v>9</v>
      </c>
      <c r="J219" s="5" t="str">
        <f t="shared" si="11"/>
        <v>Excellent</v>
      </c>
    </row>
    <row r="220" spans="1:10" ht="14.4" x14ac:dyDescent="0.3">
      <c r="A220" s="1" t="s">
        <v>530</v>
      </c>
      <c r="B220" s="1" t="str">
        <f t="shared" si="9"/>
        <v>The</v>
      </c>
      <c r="C220" s="1" t="s">
        <v>74</v>
      </c>
      <c r="D220" s="2">
        <v>4.7</v>
      </c>
      <c r="E220" s="2">
        <v>3801</v>
      </c>
      <c r="F220" s="2">
        <v>82</v>
      </c>
      <c r="G220" s="2" t="str">
        <f t="shared" si="10"/>
        <v>High Price</v>
      </c>
      <c r="H220" s="2">
        <v>2009</v>
      </c>
      <c r="I220" s="1" t="s">
        <v>12</v>
      </c>
      <c r="J220" s="5" t="str">
        <f t="shared" si="11"/>
        <v>Excellent</v>
      </c>
    </row>
    <row r="221" spans="1:10" ht="14.4" x14ac:dyDescent="0.3">
      <c r="A221" s="1" t="s">
        <v>564</v>
      </c>
      <c r="B221" s="1" t="str">
        <f t="shared" si="9"/>
        <v>Twilight</v>
      </c>
      <c r="C221" s="1" t="s">
        <v>74</v>
      </c>
      <c r="D221" s="2">
        <v>4.7</v>
      </c>
      <c r="E221" s="2">
        <v>11676</v>
      </c>
      <c r="F221" s="2">
        <v>9</v>
      </c>
      <c r="G221" s="2" t="str">
        <f t="shared" si="10"/>
        <v>Normal Price</v>
      </c>
      <c r="H221" s="2">
        <v>2009</v>
      </c>
      <c r="I221" s="1" t="s">
        <v>12</v>
      </c>
      <c r="J221" s="5" t="str">
        <f t="shared" si="11"/>
        <v>Excellent</v>
      </c>
    </row>
    <row r="222" spans="1:10" ht="14.4" x14ac:dyDescent="0.3">
      <c r="A222" s="1" t="s">
        <v>64</v>
      </c>
      <c r="B222" s="1" t="str">
        <f t="shared" si="9"/>
        <v>Barefoot</v>
      </c>
      <c r="C222" s="1" t="s">
        <v>63</v>
      </c>
      <c r="D222" s="2">
        <v>4.7</v>
      </c>
      <c r="E222" s="2">
        <v>615</v>
      </c>
      <c r="F222" s="2">
        <v>21</v>
      </c>
      <c r="G222" s="2" t="str">
        <f t="shared" si="10"/>
        <v>High Price</v>
      </c>
      <c r="H222" s="2">
        <v>2010</v>
      </c>
      <c r="I222" s="1" t="s">
        <v>9</v>
      </c>
      <c r="J222" s="5" t="str">
        <f t="shared" si="11"/>
        <v>Excellent</v>
      </c>
    </row>
    <row r="223" spans="1:10" ht="14.4" x14ac:dyDescent="0.3">
      <c r="A223" s="1" t="s">
        <v>86</v>
      </c>
      <c r="B223" s="1" t="str">
        <f t="shared" si="9"/>
        <v>Catching</v>
      </c>
      <c r="C223" s="1" t="s">
        <v>87</v>
      </c>
      <c r="D223" s="2">
        <v>4.7</v>
      </c>
      <c r="E223" s="2">
        <v>22614</v>
      </c>
      <c r="F223" s="2">
        <v>11</v>
      </c>
      <c r="G223" s="2" t="str">
        <f t="shared" si="10"/>
        <v>High Price</v>
      </c>
      <c r="H223" s="2">
        <v>2010</v>
      </c>
      <c r="I223" s="1" t="s">
        <v>12</v>
      </c>
      <c r="J223" s="5" t="str">
        <f t="shared" si="11"/>
        <v>Excellent</v>
      </c>
    </row>
    <row r="224" spans="1:10" ht="14.4" x14ac:dyDescent="0.3">
      <c r="A224" s="1" t="s">
        <v>90</v>
      </c>
      <c r="B224" s="1" t="str">
        <f t="shared" si="9"/>
        <v>Crazy</v>
      </c>
      <c r="C224" s="1" t="s">
        <v>91</v>
      </c>
      <c r="D224" s="2">
        <v>4.7</v>
      </c>
      <c r="E224" s="2">
        <v>1542</v>
      </c>
      <c r="F224" s="2">
        <v>14</v>
      </c>
      <c r="G224" s="2" t="str">
        <f t="shared" si="10"/>
        <v>High Price</v>
      </c>
      <c r="H224" s="2">
        <v>2010</v>
      </c>
      <c r="I224" s="1" t="s">
        <v>9</v>
      </c>
      <c r="J224" s="5" t="str">
        <f t="shared" si="11"/>
        <v>Excellent</v>
      </c>
    </row>
    <row r="225" spans="1:10" ht="14.4" x14ac:dyDescent="0.3">
      <c r="A225" s="1" t="s">
        <v>344</v>
      </c>
      <c r="B225" s="1" t="str">
        <f t="shared" si="9"/>
        <v>Radical:</v>
      </c>
      <c r="C225" s="1" t="s">
        <v>345</v>
      </c>
      <c r="D225" s="2">
        <v>4.7</v>
      </c>
      <c r="E225" s="2">
        <v>1985</v>
      </c>
      <c r="F225" s="2">
        <v>9</v>
      </c>
      <c r="G225" s="2" t="str">
        <f t="shared" si="10"/>
        <v>Normal Price</v>
      </c>
      <c r="H225" s="2">
        <v>2010</v>
      </c>
      <c r="I225" s="1" t="s">
        <v>9</v>
      </c>
      <c r="J225" s="5" t="str">
        <f t="shared" si="11"/>
        <v>Excellent</v>
      </c>
    </row>
    <row r="226" spans="1:10" ht="14.4" x14ac:dyDescent="0.3">
      <c r="A226" s="1" t="s">
        <v>358</v>
      </c>
      <c r="B226" s="1" t="str">
        <f t="shared" si="9"/>
        <v>Sh*t</v>
      </c>
      <c r="C226" s="1" t="s">
        <v>359</v>
      </c>
      <c r="D226" s="2">
        <v>4.7</v>
      </c>
      <c r="E226" s="2">
        <v>1265</v>
      </c>
      <c r="F226" s="2">
        <v>11</v>
      </c>
      <c r="G226" s="2" t="str">
        <f t="shared" si="10"/>
        <v>High Price</v>
      </c>
      <c r="H226" s="2">
        <v>2010</v>
      </c>
      <c r="I226" s="1" t="s">
        <v>9</v>
      </c>
      <c r="J226" s="5" t="str">
        <f t="shared" si="11"/>
        <v>Excellent</v>
      </c>
    </row>
    <row r="227" spans="1:10" ht="14.4" x14ac:dyDescent="0.3">
      <c r="A227" s="1" t="s">
        <v>383</v>
      </c>
      <c r="B227" s="1" t="str">
        <f t="shared" si="9"/>
        <v>The</v>
      </c>
      <c r="C227" s="1" t="s">
        <v>384</v>
      </c>
      <c r="D227" s="2">
        <v>4.7</v>
      </c>
      <c r="E227" s="2">
        <v>3477</v>
      </c>
      <c r="F227" s="2">
        <v>28</v>
      </c>
      <c r="G227" s="2" t="str">
        <f t="shared" si="10"/>
        <v>High Price</v>
      </c>
      <c r="H227" s="2">
        <v>2010</v>
      </c>
      <c r="I227" s="1" t="s">
        <v>9</v>
      </c>
      <c r="J227" s="5" t="str">
        <f t="shared" si="11"/>
        <v>Excellent</v>
      </c>
    </row>
    <row r="228" spans="1:10" ht="14.4" x14ac:dyDescent="0.3">
      <c r="A228" s="1" t="s">
        <v>394</v>
      </c>
      <c r="B228" s="1" t="str">
        <f t="shared" si="9"/>
        <v>The</v>
      </c>
      <c r="C228" s="1" t="s">
        <v>395</v>
      </c>
      <c r="D228" s="2">
        <v>4.7</v>
      </c>
      <c r="E228" s="2">
        <v>11813</v>
      </c>
      <c r="F228" s="2">
        <v>10</v>
      </c>
      <c r="G228" s="2" t="str">
        <f t="shared" si="10"/>
        <v>Normal Price</v>
      </c>
      <c r="H228" s="2">
        <v>2010</v>
      </c>
      <c r="I228" s="1" t="s">
        <v>12</v>
      </c>
      <c r="J228" s="5" t="str">
        <f t="shared" si="11"/>
        <v>Excellent</v>
      </c>
    </row>
    <row r="229" spans="1:10" ht="14.4" x14ac:dyDescent="0.3">
      <c r="A229" s="1" t="s">
        <v>396</v>
      </c>
      <c r="B229" s="1" t="str">
        <f t="shared" si="9"/>
        <v>The</v>
      </c>
      <c r="C229" s="1" t="s">
        <v>397</v>
      </c>
      <c r="D229" s="2">
        <v>4.7</v>
      </c>
      <c r="E229" s="2">
        <v>3536</v>
      </c>
      <c r="F229" s="2">
        <v>17</v>
      </c>
      <c r="G229" s="2" t="str">
        <f t="shared" si="10"/>
        <v>High Price</v>
      </c>
      <c r="H229" s="2">
        <v>2010</v>
      </c>
      <c r="I229" s="1" t="s">
        <v>9</v>
      </c>
      <c r="J229" s="5" t="str">
        <f t="shared" si="11"/>
        <v>Excellent</v>
      </c>
    </row>
    <row r="230" spans="1:10" ht="14.4" x14ac:dyDescent="0.3">
      <c r="A230" s="1" t="s">
        <v>436</v>
      </c>
      <c r="B230" s="1" t="str">
        <f t="shared" si="9"/>
        <v>The</v>
      </c>
      <c r="C230" s="1" t="s">
        <v>437</v>
      </c>
      <c r="D230" s="2">
        <v>4.7</v>
      </c>
      <c r="E230" s="2">
        <v>7747</v>
      </c>
      <c r="F230" s="2">
        <v>14</v>
      </c>
      <c r="G230" s="2" t="str">
        <f t="shared" si="10"/>
        <v>High Price</v>
      </c>
      <c r="H230" s="2">
        <v>2010</v>
      </c>
      <c r="I230" s="1" t="s">
        <v>12</v>
      </c>
      <c r="J230" s="5" t="str">
        <f t="shared" si="11"/>
        <v>Excellent</v>
      </c>
    </row>
    <row r="231" spans="1:10" ht="14.4" x14ac:dyDescent="0.3">
      <c r="A231" s="1" t="s">
        <v>438</v>
      </c>
      <c r="B231" s="1" t="str">
        <f t="shared" si="9"/>
        <v>The</v>
      </c>
      <c r="C231" s="1" t="s">
        <v>437</v>
      </c>
      <c r="D231" s="2">
        <v>4.7</v>
      </c>
      <c r="E231" s="2">
        <v>7251</v>
      </c>
      <c r="F231" s="2">
        <v>9</v>
      </c>
      <c r="G231" s="2" t="str">
        <f t="shared" si="10"/>
        <v>Normal Price</v>
      </c>
      <c r="H231" s="2">
        <v>2010</v>
      </c>
      <c r="I231" s="1" t="s">
        <v>12</v>
      </c>
      <c r="J231" s="5" t="str">
        <f t="shared" si="11"/>
        <v>Excellent</v>
      </c>
    </row>
    <row r="232" spans="1:10" ht="14.4" x14ac:dyDescent="0.3">
      <c r="A232" s="1" t="s">
        <v>459</v>
      </c>
      <c r="B232" s="1" t="str">
        <f t="shared" si="9"/>
        <v>The</v>
      </c>
      <c r="C232" s="1" t="s">
        <v>87</v>
      </c>
      <c r="D232" s="2">
        <v>4.7</v>
      </c>
      <c r="E232" s="2">
        <v>32122</v>
      </c>
      <c r="F232" s="2">
        <v>14</v>
      </c>
      <c r="G232" s="2" t="str">
        <f t="shared" si="10"/>
        <v>High Price</v>
      </c>
      <c r="H232" s="2">
        <v>2010</v>
      </c>
      <c r="I232" s="1" t="s">
        <v>12</v>
      </c>
      <c r="J232" s="5" t="str">
        <f t="shared" si="11"/>
        <v>Excellent</v>
      </c>
    </row>
    <row r="233" spans="1:10" ht="14.4" x14ac:dyDescent="0.3">
      <c r="A233" s="1" t="s">
        <v>462</v>
      </c>
      <c r="B233" s="1" t="str">
        <f t="shared" si="9"/>
        <v>The</v>
      </c>
      <c r="C233" s="1" t="s">
        <v>463</v>
      </c>
      <c r="D233" s="2">
        <v>4.7</v>
      </c>
      <c r="E233" s="2">
        <v>9289</v>
      </c>
      <c r="F233" s="2">
        <v>13</v>
      </c>
      <c r="G233" s="2" t="str">
        <f t="shared" si="10"/>
        <v>High Price</v>
      </c>
      <c r="H233" s="2">
        <v>2010</v>
      </c>
      <c r="I233" s="1" t="s">
        <v>9</v>
      </c>
      <c r="J233" s="5" t="str">
        <f t="shared" si="11"/>
        <v>Excellent</v>
      </c>
    </row>
    <row r="234" spans="1:10" ht="14.4" x14ac:dyDescent="0.3">
      <c r="A234" s="1" t="s">
        <v>86</v>
      </c>
      <c r="B234" s="1" t="str">
        <f t="shared" si="9"/>
        <v>Catching</v>
      </c>
      <c r="C234" s="1" t="s">
        <v>87</v>
      </c>
      <c r="D234" s="2">
        <v>4.7</v>
      </c>
      <c r="E234" s="2">
        <v>22614</v>
      </c>
      <c r="F234" s="2">
        <v>11</v>
      </c>
      <c r="G234" s="2" t="str">
        <f t="shared" si="10"/>
        <v>High Price</v>
      </c>
      <c r="H234" s="2">
        <v>2011</v>
      </c>
      <c r="I234" s="1" t="s">
        <v>12</v>
      </c>
      <c r="J234" s="5" t="str">
        <f t="shared" si="11"/>
        <v>Excellent</v>
      </c>
    </row>
    <row r="235" spans="1:10" ht="14.4" x14ac:dyDescent="0.3">
      <c r="A235" s="1" t="s">
        <v>90</v>
      </c>
      <c r="B235" s="1" t="str">
        <f t="shared" si="9"/>
        <v>Crazy</v>
      </c>
      <c r="C235" s="1" t="s">
        <v>91</v>
      </c>
      <c r="D235" s="2">
        <v>4.7</v>
      </c>
      <c r="E235" s="2">
        <v>1542</v>
      </c>
      <c r="F235" s="2">
        <v>14</v>
      </c>
      <c r="G235" s="2" t="str">
        <f t="shared" si="10"/>
        <v>High Price</v>
      </c>
      <c r="H235" s="2">
        <v>2011</v>
      </c>
      <c r="I235" s="1" t="s">
        <v>9</v>
      </c>
      <c r="J235" s="5" t="str">
        <f t="shared" si="11"/>
        <v>Excellent</v>
      </c>
    </row>
    <row r="236" spans="1:10" ht="14.4" x14ac:dyDescent="0.3">
      <c r="A236" s="1" t="s">
        <v>218</v>
      </c>
      <c r="B236" s="1" t="str">
        <f t="shared" si="9"/>
        <v>Heaven</v>
      </c>
      <c r="C236" s="1" t="s">
        <v>219</v>
      </c>
      <c r="D236" s="2">
        <v>4.7</v>
      </c>
      <c r="E236" s="2">
        <v>15779</v>
      </c>
      <c r="F236" s="2">
        <v>10</v>
      </c>
      <c r="G236" s="2" t="str">
        <f t="shared" si="10"/>
        <v>Normal Price</v>
      </c>
      <c r="H236" s="2">
        <v>2011</v>
      </c>
      <c r="I236" s="1" t="s">
        <v>9</v>
      </c>
      <c r="J236" s="5" t="str">
        <f t="shared" si="11"/>
        <v>Excellent</v>
      </c>
    </row>
    <row r="237" spans="1:10" ht="14.4" x14ac:dyDescent="0.3">
      <c r="A237" s="1" t="s">
        <v>260</v>
      </c>
      <c r="B237" s="1" t="str">
        <f t="shared" si="9"/>
        <v>Killing</v>
      </c>
      <c r="C237" s="1" t="s">
        <v>258</v>
      </c>
      <c r="D237" s="2">
        <v>4.7</v>
      </c>
      <c r="E237" s="2">
        <v>9342</v>
      </c>
      <c r="F237" s="2">
        <v>10</v>
      </c>
      <c r="G237" s="2" t="str">
        <f t="shared" si="10"/>
        <v>Normal Price</v>
      </c>
      <c r="H237" s="2">
        <v>2011</v>
      </c>
      <c r="I237" s="1" t="s">
        <v>9</v>
      </c>
      <c r="J237" s="5" t="str">
        <f t="shared" si="11"/>
        <v>Excellent</v>
      </c>
    </row>
    <row r="238" spans="1:10" ht="14.4" x14ac:dyDescent="0.3">
      <c r="A238" s="1" t="s">
        <v>344</v>
      </c>
      <c r="B238" s="1" t="str">
        <f t="shared" si="9"/>
        <v>Radical:</v>
      </c>
      <c r="C238" s="1" t="s">
        <v>345</v>
      </c>
      <c r="D238" s="2">
        <v>4.7</v>
      </c>
      <c r="E238" s="2">
        <v>1985</v>
      </c>
      <c r="F238" s="2">
        <v>9</v>
      </c>
      <c r="G238" s="2" t="str">
        <f t="shared" si="10"/>
        <v>Normal Price</v>
      </c>
      <c r="H238" s="2">
        <v>2011</v>
      </c>
      <c r="I238" s="1" t="s">
        <v>9</v>
      </c>
      <c r="J238" s="5" t="str">
        <f t="shared" si="11"/>
        <v>Excellent</v>
      </c>
    </row>
    <row r="239" spans="1:10" ht="14.4" x14ac:dyDescent="0.3">
      <c r="A239" s="1" t="s">
        <v>383</v>
      </c>
      <c r="B239" s="1" t="str">
        <f t="shared" si="9"/>
        <v>The</v>
      </c>
      <c r="C239" s="1" t="s">
        <v>384</v>
      </c>
      <c r="D239" s="2">
        <v>4.7</v>
      </c>
      <c r="E239" s="2">
        <v>3477</v>
      </c>
      <c r="F239" s="2">
        <v>28</v>
      </c>
      <c r="G239" s="2" t="str">
        <f t="shared" si="10"/>
        <v>High Price</v>
      </c>
      <c r="H239" s="2">
        <v>2011</v>
      </c>
      <c r="I239" s="1" t="s">
        <v>9</v>
      </c>
      <c r="J239" s="5" t="str">
        <f t="shared" si="11"/>
        <v>Excellent</v>
      </c>
    </row>
    <row r="240" spans="1:10" ht="14.4" x14ac:dyDescent="0.3">
      <c r="A240" s="1" t="s">
        <v>394</v>
      </c>
      <c r="B240" s="1" t="str">
        <f t="shared" si="9"/>
        <v>The</v>
      </c>
      <c r="C240" s="1" t="s">
        <v>395</v>
      </c>
      <c r="D240" s="2">
        <v>4.7</v>
      </c>
      <c r="E240" s="2">
        <v>11813</v>
      </c>
      <c r="F240" s="2">
        <v>10</v>
      </c>
      <c r="G240" s="2" t="str">
        <f t="shared" si="10"/>
        <v>Normal Price</v>
      </c>
      <c r="H240" s="2">
        <v>2011</v>
      </c>
      <c r="I240" s="1" t="s">
        <v>12</v>
      </c>
      <c r="J240" s="5" t="str">
        <f t="shared" si="11"/>
        <v>Excellent</v>
      </c>
    </row>
    <row r="241" spans="1:10" ht="14.4" x14ac:dyDescent="0.3">
      <c r="A241" s="1" t="s">
        <v>412</v>
      </c>
      <c r="B241" s="1" t="str">
        <f t="shared" si="9"/>
        <v>The</v>
      </c>
      <c r="C241" s="1" t="s">
        <v>413</v>
      </c>
      <c r="D241" s="2">
        <v>4.7</v>
      </c>
      <c r="E241" s="2">
        <v>4633</v>
      </c>
      <c r="F241" s="2">
        <v>21</v>
      </c>
      <c r="G241" s="2" t="str">
        <f t="shared" si="10"/>
        <v>High Price</v>
      </c>
      <c r="H241" s="2">
        <v>2011</v>
      </c>
      <c r="I241" s="1" t="s">
        <v>9</v>
      </c>
      <c r="J241" s="5" t="str">
        <f t="shared" si="11"/>
        <v>Excellent</v>
      </c>
    </row>
    <row r="242" spans="1:10" ht="14.4" x14ac:dyDescent="0.3">
      <c r="A242" s="1" t="s">
        <v>436</v>
      </c>
      <c r="B242" s="1" t="str">
        <f t="shared" si="9"/>
        <v>The</v>
      </c>
      <c r="C242" s="1" t="s">
        <v>437</v>
      </c>
      <c r="D242" s="2">
        <v>4.7</v>
      </c>
      <c r="E242" s="2">
        <v>7747</v>
      </c>
      <c r="F242" s="2">
        <v>14</v>
      </c>
      <c r="G242" s="2" t="str">
        <f t="shared" si="10"/>
        <v>High Price</v>
      </c>
      <c r="H242" s="2">
        <v>2011</v>
      </c>
      <c r="I242" s="1" t="s">
        <v>12</v>
      </c>
      <c r="J242" s="5" t="str">
        <f t="shared" si="11"/>
        <v>Excellent</v>
      </c>
    </row>
    <row r="243" spans="1:10" ht="14.4" x14ac:dyDescent="0.3">
      <c r="A243" s="1" t="s">
        <v>460</v>
      </c>
      <c r="B243" s="1" t="str">
        <f t="shared" si="9"/>
        <v>The</v>
      </c>
      <c r="C243" s="1" t="s">
        <v>87</v>
      </c>
      <c r="D243" s="2">
        <v>4.7</v>
      </c>
      <c r="E243" s="2">
        <v>32122</v>
      </c>
      <c r="F243" s="2">
        <v>8</v>
      </c>
      <c r="G243" s="2" t="str">
        <f t="shared" si="10"/>
        <v>Normal Price</v>
      </c>
      <c r="H243" s="2">
        <v>2011</v>
      </c>
      <c r="I243" s="1" t="s">
        <v>12</v>
      </c>
      <c r="J243" s="5" t="str">
        <f t="shared" si="11"/>
        <v>Excellent</v>
      </c>
    </row>
    <row r="244" spans="1:10" ht="14.4" x14ac:dyDescent="0.3">
      <c r="A244" s="1" t="s">
        <v>462</v>
      </c>
      <c r="B244" s="1" t="str">
        <f t="shared" si="9"/>
        <v>The</v>
      </c>
      <c r="C244" s="1" t="s">
        <v>463</v>
      </c>
      <c r="D244" s="2">
        <v>4.7</v>
      </c>
      <c r="E244" s="2">
        <v>9289</v>
      </c>
      <c r="F244" s="2">
        <v>9</v>
      </c>
      <c r="G244" s="2" t="str">
        <f t="shared" si="10"/>
        <v>Normal Price</v>
      </c>
      <c r="H244" s="2">
        <v>2011</v>
      </c>
      <c r="I244" s="1" t="s">
        <v>9</v>
      </c>
      <c r="J244" s="5" t="str">
        <f t="shared" si="11"/>
        <v>Excellent</v>
      </c>
    </row>
    <row r="245" spans="1:10" ht="14.4" x14ac:dyDescent="0.3">
      <c r="A245" s="1" t="s">
        <v>524</v>
      </c>
      <c r="B245" s="1" t="str">
        <f t="shared" si="9"/>
        <v>The</v>
      </c>
      <c r="C245" s="1" t="s">
        <v>332</v>
      </c>
      <c r="D245" s="2">
        <v>4.7</v>
      </c>
      <c r="E245" s="2">
        <v>1463</v>
      </c>
      <c r="F245" s="2">
        <v>10</v>
      </c>
      <c r="G245" s="2" t="str">
        <f t="shared" si="10"/>
        <v>Normal Price</v>
      </c>
      <c r="H245" s="2">
        <v>2011</v>
      </c>
      <c r="I245" s="1" t="s">
        <v>12</v>
      </c>
      <c r="J245" s="5" t="str">
        <f t="shared" si="11"/>
        <v>Excellent</v>
      </c>
    </row>
    <row r="246" spans="1:10" ht="14.4" x14ac:dyDescent="0.3">
      <c r="A246" s="1" t="s">
        <v>86</v>
      </c>
      <c r="B246" s="1" t="str">
        <f t="shared" si="9"/>
        <v>Catching</v>
      </c>
      <c r="C246" s="1" t="s">
        <v>87</v>
      </c>
      <c r="D246" s="2">
        <v>4.7</v>
      </c>
      <c r="E246" s="2">
        <v>22614</v>
      </c>
      <c r="F246" s="2">
        <v>11</v>
      </c>
      <c r="G246" s="2" t="str">
        <f t="shared" si="10"/>
        <v>High Price</v>
      </c>
      <c r="H246" s="2">
        <v>2012</v>
      </c>
      <c r="I246" s="1" t="s">
        <v>12</v>
      </c>
      <c r="J246" s="5" t="str">
        <f t="shared" si="11"/>
        <v>Excellent</v>
      </c>
    </row>
    <row r="247" spans="1:10" ht="14.4" x14ac:dyDescent="0.3">
      <c r="A247" s="1" t="s">
        <v>218</v>
      </c>
      <c r="B247" s="1" t="str">
        <f t="shared" si="9"/>
        <v>Heaven</v>
      </c>
      <c r="C247" s="1" t="s">
        <v>219</v>
      </c>
      <c r="D247" s="2">
        <v>4.7</v>
      </c>
      <c r="E247" s="2">
        <v>15779</v>
      </c>
      <c r="F247" s="2">
        <v>10</v>
      </c>
      <c r="G247" s="2" t="str">
        <f t="shared" si="10"/>
        <v>Normal Price</v>
      </c>
      <c r="H247" s="2">
        <v>2012</v>
      </c>
      <c r="I247" s="1" t="s">
        <v>9</v>
      </c>
      <c r="J247" s="5" t="str">
        <f t="shared" si="11"/>
        <v>Excellent</v>
      </c>
    </row>
    <row r="248" spans="1:10" ht="14.4" x14ac:dyDescent="0.3">
      <c r="A248" s="1" t="s">
        <v>260</v>
      </c>
      <c r="B248" s="1" t="str">
        <f t="shared" si="9"/>
        <v>Killing</v>
      </c>
      <c r="C248" s="1" t="s">
        <v>258</v>
      </c>
      <c r="D248" s="2">
        <v>4.7</v>
      </c>
      <c r="E248" s="2">
        <v>9342</v>
      </c>
      <c r="F248" s="2">
        <v>10</v>
      </c>
      <c r="G248" s="2" t="str">
        <f t="shared" si="10"/>
        <v>Normal Price</v>
      </c>
      <c r="H248" s="2">
        <v>2012</v>
      </c>
      <c r="I248" s="1" t="s">
        <v>9</v>
      </c>
      <c r="J248" s="5" t="str">
        <f t="shared" si="11"/>
        <v>Excellent</v>
      </c>
    </row>
    <row r="249" spans="1:10" ht="14.4" x14ac:dyDescent="0.3">
      <c r="A249" s="1" t="s">
        <v>383</v>
      </c>
      <c r="B249" s="1" t="str">
        <f t="shared" si="9"/>
        <v>The</v>
      </c>
      <c r="C249" s="1" t="s">
        <v>384</v>
      </c>
      <c r="D249" s="2">
        <v>4.7</v>
      </c>
      <c r="E249" s="2">
        <v>3477</v>
      </c>
      <c r="F249" s="2">
        <v>28</v>
      </c>
      <c r="G249" s="2" t="str">
        <f t="shared" si="10"/>
        <v>High Price</v>
      </c>
      <c r="H249" s="2">
        <v>2012</v>
      </c>
      <c r="I249" s="1" t="s">
        <v>9</v>
      </c>
      <c r="J249" s="5" t="str">
        <f t="shared" si="11"/>
        <v>Excellent</v>
      </c>
    </row>
    <row r="250" spans="1:10" ht="14.4" x14ac:dyDescent="0.3">
      <c r="A250" s="1" t="s">
        <v>427</v>
      </c>
      <c r="B250" s="1" t="str">
        <f t="shared" si="9"/>
        <v>The</v>
      </c>
      <c r="C250" s="1" t="s">
        <v>288</v>
      </c>
      <c r="D250" s="2">
        <v>4.7</v>
      </c>
      <c r="E250" s="2">
        <v>50482</v>
      </c>
      <c r="F250" s="2">
        <v>13</v>
      </c>
      <c r="G250" s="2" t="str">
        <f t="shared" si="10"/>
        <v>High Price</v>
      </c>
      <c r="H250" s="2">
        <v>2012</v>
      </c>
      <c r="I250" s="1" t="s">
        <v>12</v>
      </c>
      <c r="J250" s="5" t="str">
        <f t="shared" si="11"/>
        <v>Excellent</v>
      </c>
    </row>
    <row r="251" spans="1:10" ht="14.4" x14ac:dyDescent="0.3">
      <c r="A251" s="1" t="s">
        <v>460</v>
      </c>
      <c r="B251" s="1" t="str">
        <f t="shared" si="9"/>
        <v>The</v>
      </c>
      <c r="C251" s="1" t="s">
        <v>87</v>
      </c>
      <c r="D251" s="2">
        <v>4.7</v>
      </c>
      <c r="E251" s="2">
        <v>32122</v>
      </c>
      <c r="F251" s="2">
        <v>8</v>
      </c>
      <c r="G251" s="2" t="str">
        <f t="shared" si="10"/>
        <v>Normal Price</v>
      </c>
      <c r="H251" s="2">
        <v>2012</v>
      </c>
      <c r="I251" s="1" t="s">
        <v>12</v>
      </c>
      <c r="J251" s="5" t="str">
        <f t="shared" si="11"/>
        <v>Excellent</v>
      </c>
    </row>
    <row r="252" spans="1:10" ht="14.4" x14ac:dyDescent="0.3">
      <c r="A252" s="1" t="s">
        <v>462</v>
      </c>
      <c r="B252" s="1" t="str">
        <f t="shared" si="9"/>
        <v>The</v>
      </c>
      <c r="C252" s="1" t="s">
        <v>463</v>
      </c>
      <c r="D252" s="2">
        <v>4.7</v>
      </c>
      <c r="E252" s="2">
        <v>9289</v>
      </c>
      <c r="F252" s="2">
        <v>9</v>
      </c>
      <c r="G252" s="2" t="str">
        <f t="shared" si="10"/>
        <v>Normal Price</v>
      </c>
      <c r="H252" s="2">
        <v>2012</v>
      </c>
      <c r="I252" s="1" t="s">
        <v>9</v>
      </c>
      <c r="J252" s="5" t="str">
        <f t="shared" si="11"/>
        <v>Excellent</v>
      </c>
    </row>
    <row r="253" spans="1:10" ht="14.4" x14ac:dyDescent="0.3">
      <c r="A253" s="1" t="s">
        <v>523</v>
      </c>
      <c r="B253" s="1" t="str">
        <f t="shared" si="9"/>
        <v>The</v>
      </c>
      <c r="C253" s="1" t="s">
        <v>79</v>
      </c>
      <c r="D253" s="2">
        <v>4.7</v>
      </c>
      <c r="E253" s="2">
        <v>6377</v>
      </c>
      <c r="F253" s="2">
        <v>7</v>
      </c>
      <c r="G253" s="2" t="str">
        <f t="shared" si="10"/>
        <v>Normal Price</v>
      </c>
      <c r="H253" s="2">
        <v>2012</v>
      </c>
      <c r="I253" s="1" t="s">
        <v>12</v>
      </c>
      <c r="J253" s="5" t="str">
        <f t="shared" si="11"/>
        <v>Excellent</v>
      </c>
    </row>
    <row r="254" spans="1:10" ht="14.4" x14ac:dyDescent="0.3">
      <c r="A254" s="1" t="s">
        <v>124</v>
      </c>
      <c r="B254" s="1" t="str">
        <f t="shared" si="9"/>
        <v>Doctor</v>
      </c>
      <c r="C254" s="1" t="s">
        <v>11</v>
      </c>
      <c r="D254" s="2">
        <v>4.7</v>
      </c>
      <c r="E254" s="2">
        <v>15845</v>
      </c>
      <c r="F254" s="2">
        <v>13</v>
      </c>
      <c r="G254" s="2" t="str">
        <f t="shared" si="10"/>
        <v>High Price</v>
      </c>
      <c r="H254" s="2">
        <v>2013</v>
      </c>
      <c r="I254" s="1" t="s">
        <v>12</v>
      </c>
      <c r="J254" s="5" t="str">
        <f t="shared" si="11"/>
        <v>Excellent</v>
      </c>
    </row>
    <row r="255" spans="1:10" ht="14.4" x14ac:dyDescent="0.3">
      <c r="A255" s="1" t="s">
        <v>231</v>
      </c>
      <c r="B255" s="1" t="str">
        <f t="shared" si="9"/>
        <v>Hyperbole</v>
      </c>
      <c r="C255" s="1" t="s">
        <v>232</v>
      </c>
      <c r="D255" s="2">
        <v>4.7</v>
      </c>
      <c r="E255" s="2">
        <v>4896</v>
      </c>
      <c r="F255" s="2">
        <v>17</v>
      </c>
      <c r="G255" s="2" t="str">
        <f t="shared" si="10"/>
        <v>High Price</v>
      </c>
      <c r="H255" s="2">
        <v>2013</v>
      </c>
      <c r="I255" s="1" t="s">
        <v>9</v>
      </c>
      <c r="J255" s="5" t="str">
        <f t="shared" si="11"/>
        <v>Excellent</v>
      </c>
    </row>
    <row r="256" spans="1:10" ht="14.4" x14ac:dyDescent="0.3">
      <c r="A256" s="1" t="s">
        <v>383</v>
      </c>
      <c r="B256" s="1" t="str">
        <f t="shared" si="9"/>
        <v>The</v>
      </c>
      <c r="C256" s="1" t="s">
        <v>384</v>
      </c>
      <c r="D256" s="2">
        <v>4.7</v>
      </c>
      <c r="E256" s="2">
        <v>3477</v>
      </c>
      <c r="F256" s="2">
        <v>28</v>
      </c>
      <c r="G256" s="2" t="str">
        <f t="shared" si="10"/>
        <v>High Price</v>
      </c>
      <c r="H256" s="2">
        <v>2013</v>
      </c>
      <c r="I256" s="1" t="s">
        <v>9</v>
      </c>
      <c r="J256" s="5" t="str">
        <f t="shared" si="11"/>
        <v>Excellent</v>
      </c>
    </row>
    <row r="257" spans="1:10" ht="14.4" x14ac:dyDescent="0.3">
      <c r="A257" s="1" t="s">
        <v>427</v>
      </c>
      <c r="B257" s="1" t="str">
        <f t="shared" si="9"/>
        <v>The</v>
      </c>
      <c r="C257" s="1" t="s">
        <v>288</v>
      </c>
      <c r="D257" s="2">
        <v>4.7</v>
      </c>
      <c r="E257" s="2">
        <v>50482</v>
      </c>
      <c r="F257" s="2">
        <v>13</v>
      </c>
      <c r="G257" s="2" t="str">
        <f t="shared" si="10"/>
        <v>High Price</v>
      </c>
      <c r="H257" s="2">
        <v>2013</v>
      </c>
      <c r="I257" s="1" t="s">
        <v>12</v>
      </c>
      <c r="J257" s="5" t="str">
        <f t="shared" si="11"/>
        <v>Excellent</v>
      </c>
    </row>
    <row r="258" spans="1:10" ht="14.4" x14ac:dyDescent="0.3">
      <c r="A258" s="1" t="s">
        <v>431</v>
      </c>
      <c r="B258" s="1" t="str">
        <f t="shared" ref="B258:B321" si="12">LEFT(A258,FIND(" ",A258&amp;" ")-1)</f>
        <v>The</v>
      </c>
      <c r="C258" s="1" t="s">
        <v>432</v>
      </c>
      <c r="D258" s="2">
        <v>4.7</v>
      </c>
      <c r="E258" s="2">
        <v>23308</v>
      </c>
      <c r="F258" s="2">
        <v>6</v>
      </c>
      <c r="G258" s="2" t="str">
        <f t="shared" ref="G258:G321" si="13">IF(F258&gt;10,"High Price","Normal Price")</f>
        <v>Normal Price</v>
      </c>
      <c r="H258" s="2">
        <v>2013</v>
      </c>
      <c r="I258" s="1" t="s">
        <v>9</v>
      </c>
      <c r="J258" s="5" t="str">
        <f t="shared" ref="J258:J321" si="14">IF(D258&gt;=4.5,"Excellent",IF(D258&gt;=4,"Good","Average"))</f>
        <v>Excellent</v>
      </c>
    </row>
    <row r="259" spans="1:10" ht="14.4" x14ac:dyDescent="0.3">
      <c r="A259" s="1" t="s">
        <v>544</v>
      </c>
      <c r="B259" s="1" t="str">
        <f t="shared" si="12"/>
        <v>Things</v>
      </c>
      <c r="C259" s="1" t="s">
        <v>545</v>
      </c>
      <c r="D259" s="2">
        <v>4.7</v>
      </c>
      <c r="E259" s="2">
        <v>7034</v>
      </c>
      <c r="F259" s="2">
        <v>15</v>
      </c>
      <c r="G259" s="2" t="str">
        <f t="shared" si="13"/>
        <v>High Price</v>
      </c>
      <c r="H259" s="2">
        <v>2013</v>
      </c>
      <c r="I259" s="1" t="s">
        <v>9</v>
      </c>
      <c r="J259" s="5" t="str">
        <f t="shared" si="14"/>
        <v>Excellent</v>
      </c>
    </row>
    <row r="260" spans="1:10" ht="14.4" x14ac:dyDescent="0.3">
      <c r="A260" s="1" t="s">
        <v>21</v>
      </c>
      <c r="B260" s="1" t="str">
        <f t="shared" si="12"/>
        <v>A</v>
      </c>
      <c r="C260" s="1" t="s">
        <v>20</v>
      </c>
      <c r="D260" s="2">
        <v>4.7</v>
      </c>
      <c r="E260" s="2">
        <v>19735</v>
      </c>
      <c r="F260" s="2">
        <v>30</v>
      </c>
      <c r="G260" s="2" t="str">
        <f t="shared" si="13"/>
        <v>High Price</v>
      </c>
      <c r="H260" s="2">
        <v>2014</v>
      </c>
      <c r="I260" s="1" t="s">
        <v>12</v>
      </c>
      <c r="J260" s="5" t="str">
        <f t="shared" si="14"/>
        <v>Excellent</v>
      </c>
    </row>
    <row r="261" spans="1:10" ht="14.4" x14ac:dyDescent="0.3">
      <c r="A261" s="1" t="s">
        <v>162</v>
      </c>
      <c r="B261" s="1" t="str">
        <f t="shared" si="12"/>
        <v>First</v>
      </c>
      <c r="C261" s="1" t="s">
        <v>163</v>
      </c>
      <c r="D261" s="2">
        <v>4.7</v>
      </c>
      <c r="E261" s="2">
        <v>17323</v>
      </c>
      <c r="F261" s="2">
        <v>4</v>
      </c>
      <c r="G261" s="2" t="str">
        <f t="shared" si="13"/>
        <v>Normal Price</v>
      </c>
      <c r="H261" s="2">
        <v>2014</v>
      </c>
      <c r="I261" s="1" t="s">
        <v>9</v>
      </c>
      <c r="J261" s="5" t="str">
        <f t="shared" si="14"/>
        <v>Excellent</v>
      </c>
    </row>
    <row r="262" spans="1:10" ht="14.4" x14ac:dyDescent="0.3">
      <c r="A262" s="1" t="s">
        <v>166</v>
      </c>
      <c r="B262" s="1" t="str">
        <f t="shared" si="12"/>
        <v>Frozen</v>
      </c>
      <c r="C262" s="1" t="s">
        <v>167</v>
      </c>
      <c r="D262" s="2">
        <v>4.7</v>
      </c>
      <c r="E262" s="2">
        <v>3642</v>
      </c>
      <c r="F262" s="2">
        <v>0</v>
      </c>
      <c r="G262" s="2" t="str">
        <f t="shared" si="13"/>
        <v>Normal Price</v>
      </c>
      <c r="H262" s="2">
        <v>2014</v>
      </c>
      <c r="I262" s="1" t="s">
        <v>12</v>
      </c>
      <c r="J262" s="5" t="str">
        <f t="shared" si="14"/>
        <v>Excellent</v>
      </c>
    </row>
    <row r="263" spans="1:10" ht="14.4" x14ac:dyDescent="0.3">
      <c r="A263" s="1" t="s">
        <v>224</v>
      </c>
      <c r="B263" s="1" t="str">
        <f t="shared" si="12"/>
        <v>How</v>
      </c>
      <c r="C263" s="1" t="s">
        <v>225</v>
      </c>
      <c r="D263" s="2">
        <v>4.7</v>
      </c>
      <c r="E263" s="2">
        <v>25001</v>
      </c>
      <c r="F263" s="2">
        <v>11</v>
      </c>
      <c r="G263" s="2" t="str">
        <f t="shared" si="13"/>
        <v>High Price</v>
      </c>
      <c r="H263" s="2">
        <v>2014</v>
      </c>
      <c r="I263" s="1" t="s">
        <v>9</v>
      </c>
      <c r="J263" s="5" t="str">
        <f t="shared" si="14"/>
        <v>Excellent</v>
      </c>
    </row>
    <row r="264" spans="1:10" ht="14.4" x14ac:dyDescent="0.3">
      <c r="A264" s="1" t="s">
        <v>383</v>
      </c>
      <c r="B264" s="1" t="str">
        <f t="shared" si="12"/>
        <v>The</v>
      </c>
      <c r="C264" s="1" t="s">
        <v>384</v>
      </c>
      <c r="D264" s="2">
        <v>4.7</v>
      </c>
      <c r="E264" s="2">
        <v>3477</v>
      </c>
      <c r="F264" s="2">
        <v>28</v>
      </c>
      <c r="G264" s="2" t="str">
        <f t="shared" si="13"/>
        <v>High Price</v>
      </c>
      <c r="H264" s="2">
        <v>2014</v>
      </c>
      <c r="I264" s="1" t="s">
        <v>9</v>
      </c>
      <c r="J264" s="5" t="str">
        <f t="shared" si="14"/>
        <v>Excellent</v>
      </c>
    </row>
    <row r="265" spans="1:10" ht="14.4" x14ac:dyDescent="0.3">
      <c r="A265" s="1" t="s">
        <v>390</v>
      </c>
      <c r="B265" s="1" t="str">
        <f t="shared" si="12"/>
        <v>The</v>
      </c>
      <c r="C265" s="1" t="s">
        <v>391</v>
      </c>
      <c r="D265" s="2">
        <v>4.7</v>
      </c>
      <c r="E265" s="2">
        <v>35799</v>
      </c>
      <c r="F265" s="2">
        <v>39</v>
      </c>
      <c r="G265" s="2" t="str">
        <f t="shared" si="13"/>
        <v>High Price</v>
      </c>
      <c r="H265" s="2">
        <v>2014</v>
      </c>
      <c r="I265" s="1" t="s">
        <v>12</v>
      </c>
      <c r="J265" s="5" t="str">
        <f t="shared" si="14"/>
        <v>Excellent</v>
      </c>
    </row>
    <row r="266" spans="1:10" ht="14.4" x14ac:dyDescent="0.3">
      <c r="A266" s="1" t="s">
        <v>427</v>
      </c>
      <c r="B266" s="1" t="str">
        <f t="shared" si="12"/>
        <v>The</v>
      </c>
      <c r="C266" s="1" t="s">
        <v>288</v>
      </c>
      <c r="D266" s="2">
        <v>4.7</v>
      </c>
      <c r="E266" s="2">
        <v>50482</v>
      </c>
      <c r="F266" s="2">
        <v>7</v>
      </c>
      <c r="G266" s="2" t="str">
        <f t="shared" si="13"/>
        <v>Normal Price</v>
      </c>
      <c r="H266" s="2">
        <v>2014</v>
      </c>
      <c r="I266" s="1" t="s">
        <v>12</v>
      </c>
      <c r="J266" s="5" t="str">
        <f t="shared" si="14"/>
        <v>Excellent</v>
      </c>
    </row>
    <row r="267" spans="1:10" ht="14.4" x14ac:dyDescent="0.3">
      <c r="A267" s="1" t="s">
        <v>427</v>
      </c>
      <c r="B267" s="1" t="str">
        <f t="shared" si="12"/>
        <v>The</v>
      </c>
      <c r="C267" s="1" t="s">
        <v>288</v>
      </c>
      <c r="D267" s="2">
        <v>4.7</v>
      </c>
      <c r="E267" s="2">
        <v>50482</v>
      </c>
      <c r="F267" s="2">
        <v>13</v>
      </c>
      <c r="G267" s="2" t="str">
        <f t="shared" si="13"/>
        <v>High Price</v>
      </c>
      <c r="H267" s="2">
        <v>2014</v>
      </c>
      <c r="I267" s="1" t="s">
        <v>12</v>
      </c>
      <c r="J267" s="5" t="str">
        <f t="shared" si="14"/>
        <v>Excellent</v>
      </c>
    </row>
    <row r="268" spans="1:10" ht="14.4" x14ac:dyDescent="0.3">
      <c r="A268" s="1" t="s">
        <v>579</v>
      </c>
      <c r="B268" s="1" t="str">
        <f t="shared" si="12"/>
        <v>What</v>
      </c>
      <c r="C268" s="1" t="s">
        <v>580</v>
      </c>
      <c r="D268" s="2">
        <v>4.7</v>
      </c>
      <c r="E268" s="2">
        <v>9292</v>
      </c>
      <c r="F268" s="2">
        <v>17</v>
      </c>
      <c r="G268" s="2" t="str">
        <f t="shared" si="13"/>
        <v>High Price</v>
      </c>
      <c r="H268" s="2">
        <v>2014</v>
      </c>
      <c r="I268" s="1" t="s">
        <v>9</v>
      </c>
      <c r="J268" s="5" t="str">
        <f t="shared" si="14"/>
        <v>Excellent</v>
      </c>
    </row>
    <row r="269" spans="1:10" ht="14.4" x14ac:dyDescent="0.3">
      <c r="A269" s="1" t="s">
        <v>69</v>
      </c>
      <c r="B269" s="1" t="str">
        <f t="shared" si="12"/>
        <v>Between</v>
      </c>
      <c r="C269" s="1" t="s">
        <v>70</v>
      </c>
      <c r="D269" s="2">
        <v>4.7</v>
      </c>
      <c r="E269" s="2">
        <v>10070</v>
      </c>
      <c r="F269" s="2">
        <v>13</v>
      </c>
      <c r="G269" s="2" t="str">
        <f t="shared" si="13"/>
        <v>High Price</v>
      </c>
      <c r="H269" s="2">
        <v>2015</v>
      </c>
      <c r="I269" s="1" t="s">
        <v>9</v>
      </c>
      <c r="J269" s="5" t="str">
        <f t="shared" si="14"/>
        <v>Excellent</v>
      </c>
    </row>
    <row r="270" spans="1:10" ht="14.4" x14ac:dyDescent="0.3">
      <c r="A270" s="1" t="s">
        <v>147</v>
      </c>
      <c r="B270" s="1" t="str">
        <f t="shared" si="12"/>
        <v>Enchanted</v>
      </c>
      <c r="C270" s="1" t="s">
        <v>148</v>
      </c>
      <c r="D270" s="2">
        <v>4.7</v>
      </c>
      <c r="E270" s="2">
        <v>5413</v>
      </c>
      <c r="F270" s="2">
        <v>9</v>
      </c>
      <c r="G270" s="2" t="str">
        <f t="shared" si="13"/>
        <v>Normal Price</v>
      </c>
      <c r="H270" s="2">
        <v>2015</v>
      </c>
      <c r="I270" s="1" t="s">
        <v>9</v>
      </c>
      <c r="J270" s="5" t="str">
        <f t="shared" si="14"/>
        <v>Excellent</v>
      </c>
    </row>
    <row r="271" spans="1:10" ht="14.4" x14ac:dyDescent="0.3">
      <c r="A271" s="1" t="s">
        <v>162</v>
      </c>
      <c r="B271" s="1" t="str">
        <f t="shared" si="12"/>
        <v>First</v>
      </c>
      <c r="C271" s="1" t="s">
        <v>163</v>
      </c>
      <c r="D271" s="2">
        <v>4.7</v>
      </c>
      <c r="E271" s="2">
        <v>17323</v>
      </c>
      <c r="F271" s="2">
        <v>4</v>
      </c>
      <c r="G271" s="2" t="str">
        <f t="shared" si="13"/>
        <v>Normal Price</v>
      </c>
      <c r="H271" s="2">
        <v>2015</v>
      </c>
      <c r="I271" s="1" t="s">
        <v>9</v>
      </c>
      <c r="J271" s="5" t="str">
        <f t="shared" si="14"/>
        <v>Excellent</v>
      </c>
    </row>
    <row r="272" spans="1:10" ht="14.4" x14ac:dyDescent="0.3">
      <c r="A272" s="1" t="s">
        <v>213</v>
      </c>
      <c r="B272" s="1" t="str">
        <f t="shared" si="12"/>
        <v>Harry</v>
      </c>
      <c r="C272" s="1" t="s">
        <v>214</v>
      </c>
      <c r="D272" s="2">
        <v>4.7</v>
      </c>
      <c r="E272" s="2">
        <v>3564</v>
      </c>
      <c r="F272" s="2">
        <v>9</v>
      </c>
      <c r="G272" s="2" t="str">
        <f t="shared" si="13"/>
        <v>Normal Price</v>
      </c>
      <c r="H272" s="2">
        <v>2015</v>
      </c>
      <c r="I272" s="1" t="s">
        <v>9</v>
      </c>
      <c r="J272" s="5" t="str">
        <f t="shared" si="14"/>
        <v>Excellent</v>
      </c>
    </row>
    <row r="273" spans="1:10" ht="14.4" x14ac:dyDescent="0.3">
      <c r="A273" s="1" t="s">
        <v>224</v>
      </c>
      <c r="B273" s="1" t="str">
        <f t="shared" si="12"/>
        <v>How</v>
      </c>
      <c r="C273" s="1" t="s">
        <v>225</v>
      </c>
      <c r="D273" s="2">
        <v>4.7</v>
      </c>
      <c r="E273" s="2">
        <v>25001</v>
      </c>
      <c r="F273" s="2">
        <v>11</v>
      </c>
      <c r="G273" s="2" t="str">
        <f t="shared" si="13"/>
        <v>High Price</v>
      </c>
      <c r="H273" s="2">
        <v>2015</v>
      </c>
      <c r="I273" s="1" t="s">
        <v>9</v>
      </c>
      <c r="J273" s="5" t="str">
        <f t="shared" si="14"/>
        <v>Excellent</v>
      </c>
    </row>
    <row r="274" spans="1:10" ht="14.4" x14ac:dyDescent="0.3">
      <c r="A274" s="1" t="s">
        <v>357</v>
      </c>
      <c r="B274" s="1" t="str">
        <f t="shared" si="12"/>
        <v>Secret</v>
      </c>
      <c r="C274" s="1" t="s">
        <v>148</v>
      </c>
      <c r="D274" s="2">
        <v>4.7</v>
      </c>
      <c r="E274" s="2">
        <v>9366</v>
      </c>
      <c r="F274" s="2">
        <v>9</v>
      </c>
      <c r="G274" s="2" t="str">
        <f t="shared" si="13"/>
        <v>Normal Price</v>
      </c>
      <c r="H274" s="2">
        <v>2015</v>
      </c>
      <c r="I274" s="1" t="s">
        <v>9</v>
      </c>
      <c r="J274" s="5" t="str">
        <f t="shared" si="14"/>
        <v>Excellent</v>
      </c>
    </row>
    <row r="275" spans="1:10" ht="14.4" x14ac:dyDescent="0.3">
      <c r="A275" s="1" t="s">
        <v>388</v>
      </c>
      <c r="B275" s="1" t="str">
        <f t="shared" si="12"/>
        <v>The</v>
      </c>
      <c r="C275" s="1" t="s">
        <v>389</v>
      </c>
      <c r="D275" s="2">
        <v>4.7</v>
      </c>
      <c r="E275" s="2">
        <v>4725</v>
      </c>
      <c r="F275" s="2">
        <v>16</v>
      </c>
      <c r="G275" s="2" t="str">
        <f t="shared" si="13"/>
        <v>High Price</v>
      </c>
      <c r="H275" s="2">
        <v>2015</v>
      </c>
      <c r="I275" s="1" t="s">
        <v>9</v>
      </c>
      <c r="J275" s="5" t="str">
        <f t="shared" si="14"/>
        <v>Excellent</v>
      </c>
    </row>
    <row r="276" spans="1:10" ht="14.4" x14ac:dyDescent="0.3">
      <c r="A276" s="1" t="s">
        <v>431</v>
      </c>
      <c r="B276" s="1" t="str">
        <f t="shared" si="12"/>
        <v>The</v>
      </c>
      <c r="C276" s="1" t="s">
        <v>432</v>
      </c>
      <c r="D276" s="2">
        <v>4.7</v>
      </c>
      <c r="E276" s="2">
        <v>23308</v>
      </c>
      <c r="F276" s="2">
        <v>6</v>
      </c>
      <c r="G276" s="2" t="str">
        <f t="shared" si="13"/>
        <v>Normal Price</v>
      </c>
      <c r="H276" s="2">
        <v>2015</v>
      </c>
      <c r="I276" s="1" t="s">
        <v>9</v>
      </c>
      <c r="J276" s="5" t="str">
        <f t="shared" si="14"/>
        <v>Excellent</v>
      </c>
    </row>
    <row r="277" spans="1:10" ht="14.4" x14ac:dyDescent="0.3">
      <c r="A277" s="1" t="s">
        <v>483</v>
      </c>
      <c r="B277" s="1" t="str">
        <f t="shared" si="12"/>
        <v>The</v>
      </c>
      <c r="C277" s="1" t="s">
        <v>484</v>
      </c>
      <c r="D277" s="2">
        <v>4.7</v>
      </c>
      <c r="E277" s="2">
        <v>39459</v>
      </c>
      <c r="F277" s="2">
        <v>9</v>
      </c>
      <c r="G277" s="2" t="str">
        <f t="shared" si="13"/>
        <v>Normal Price</v>
      </c>
      <c r="H277" s="2">
        <v>2015</v>
      </c>
      <c r="I277" s="1" t="s">
        <v>12</v>
      </c>
      <c r="J277" s="5" t="str">
        <f t="shared" si="14"/>
        <v>Excellent</v>
      </c>
    </row>
    <row r="278" spans="1:10" ht="14.4" x14ac:dyDescent="0.3">
      <c r="A278" s="1" t="s">
        <v>542</v>
      </c>
      <c r="B278" s="1" t="str">
        <f t="shared" si="12"/>
        <v>The</v>
      </c>
      <c r="C278" s="1" t="s">
        <v>543</v>
      </c>
      <c r="D278" s="2">
        <v>4.7</v>
      </c>
      <c r="E278" s="2">
        <v>6169</v>
      </c>
      <c r="F278" s="2">
        <v>16</v>
      </c>
      <c r="G278" s="2" t="str">
        <f t="shared" si="13"/>
        <v>High Price</v>
      </c>
      <c r="H278" s="2">
        <v>2015</v>
      </c>
      <c r="I278" s="1" t="s">
        <v>9</v>
      </c>
      <c r="J278" s="5" t="str">
        <f t="shared" si="14"/>
        <v>Excellent</v>
      </c>
    </row>
    <row r="279" spans="1:10" ht="14.4" x14ac:dyDescent="0.3">
      <c r="A279" s="1" t="s">
        <v>581</v>
      </c>
      <c r="B279" s="1" t="str">
        <f t="shared" si="12"/>
        <v>What</v>
      </c>
      <c r="C279" s="1" t="s">
        <v>318</v>
      </c>
      <c r="D279" s="2">
        <v>4.7</v>
      </c>
      <c r="E279" s="2">
        <v>1873</v>
      </c>
      <c r="F279" s="2">
        <v>14</v>
      </c>
      <c r="G279" s="2" t="str">
        <f t="shared" si="13"/>
        <v>High Price</v>
      </c>
      <c r="H279" s="2">
        <v>2015</v>
      </c>
      <c r="I279" s="1" t="s">
        <v>12</v>
      </c>
      <c r="J279" s="5" t="str">
        <f t="shared" si="14"/>
        <v>Excellent</v>
      </c>
    </row>
    <row r="280" spans="1:10" ht="14.4" x14ac:dyDescent="0.3">
      <c r="A280" s="1" t="s">
        <v>7</v>
      </c>
      <c r="B280" s="1" t="str">
        <f t="shared" si="12"/>
        <v>10-Day</v>
      </c>
      <c r="C280" s="1" t="s">
        <v>8</v>
      </c>
      <c r="D280" s="2">
        <v>4.7</v>
      </c>
      <c r="E280" s="2">
        <v>17350</v>
      </c>
      <c r="F280" s="2">
        <v>8</v>
      </c>
      <c r="G280" s="7" t="str">
        <f t="shared" si="13"/>
        <v>Normal Price</v>
      </c>
      <c r="H280" s="2">
        <v>2016</v>
      </c>
      <c r="I280" s="1" t="s">
        <v>9</v>
      </c>
      <c r="J280" s="5" t="str">
        <f t="shared" si="14"/>
        <v>Excellent</v>
      </c>
    </row>
    <row r="281" spans="1:10" ht="14.4" x14ac:dyDescent="0.3">
      <c r="A281" s="1" t="s">
        <v>69</v>
      </c>
      <c r="B281" s="1" t="str">
        <f t="shared" si="12"/>
        <v>Between</v>
      </c>
      <c r="C281" s="1" t="s">
        <v>70</v>
      </c>
      <c r="D281" s="2">
        <v>4.7</v>
      </c>
      <c r="E281" s="2">
        <v>10070</v>
      </c>
      <c r="F281" s="2">
        <v>13</v>
      </c>
      <c r="G281" s="2" t="str">
        <f t="shared" si="13"/>
        <v>High Price</v>
      </c>
      <c r="H281" s="2">
        <v>2016</v>
      </c>
      <c r="I281" s="1" t="s">
        <v>9</v>
      </c>
      <c r="J281" s="5" t="str">
        <f t="shared" si="14"/>
        <v>Excellent</v>
      </c>
    </row>
    <row r="282" spans="1:10" ht="14.4" x14ac:dyDescent="0.3">
      <c r="A282" s="1" t="s">
        <v>71</v>
      </c>
      <c r="B282" s="1" t="str">
        <f t="shared" si="12"/>
        <v>Born</v>
      </c>
      <c r="C282" s="1" t="s">
        <v>72</v>
      </c>
      <c r="D282" s="2">
        <v>4.7</v>
      </c>
      <c r="E282" s="2">
        <v>3729</v>
      </c>
      <c r="F282" s="2">
        <v>18</v>
      </c>
      <c r="G282" s="2" t="str">
        <f t="shared" si="13"/>
        <v>High Price</v>
      </c>
      <c r="H282" s="2">
        <v>2016</v>
      </c>
      <c r="I282" s="1" t="s">
        <v>9</v>
      </c>
      <c r="J282" s="5" t="str">
        <f t="shared" si="14"/>
        <v>Excellent</v>
      </c>
    </row>
    <row r="283" spans="1:10" ht="14.4" x14ac:dyDescent="0.3">
      <c r="A283" s="1" t="s">
        <v>88</v>
      </c>
      <c r="B283" s="1" t="str">
        <f t="shared" si="12"/>
        <v>Cravings:</v>
      </c>
      <c r="C283" s="1" t="s">
        <v>89</v>
      </c>
      <c r="D283" s="2">
        <v>4.7</v>
      </c>
      <c r="E283" s="2">
        <v>4761</v>
      </c>
      <c r="F283" s="2">
        <v>16</v>
      </c>
      <c r="G283" s="2" t="str">
        <f t="shared" si="13"/>
        <v>High Price</v>
      </c>
      <c r="H283" s="2">
        <v>2016</v>
      </c>
      <c r="I283" s="1" t="s">
        <v>9</v>
      </c>
      <c r="J283" s="5" t="str">
        <f t="shared" si="14"/>
        <v>Excellent</v>
      </c>
    </row>
    <row r="284" spans="1:10" ht="14.4" x14ac:dyDescent="0.3">
      <c r="A284" s="1" t="s">
        <v>151</v>
      </c>
      <c r="B284" s="1" t="str">
        <f t="shared" si="12"/>
        <v>Fantastic</v>
      </c>
      <c r="C284" s="1" t="s">
        <v>152</v>
      </c>
      <c r="D284" s="2">
        <v>4.7</v>
      </c>
      <c r="E284" s="2">
        <v>4370</v>
      </c>
      <c r="F284" s="2">
        <v>15</v>
      </c>
      <c r="G284" s="2" t="str">
        <f t="shared" si="13"/>
        <v>High Price</v>
      </c>
      <c r="H284" s="2">
        <v>2016</v>
      </c>
      <c r="I284" s="1" t="s">
        <v>12</v>
      </c>
      <c r="J284" s="5" t="str">
        <f t="shared" si="14"/>
        <v>Excellent</v>
      </c>
    </row>
    <row r="285" spans="1:10" ht="14.4" x14ac:dyDescent="0.3">
      <c r="A285" s="1" t="s">
        <v>162</v>
      </c>
      <c r="B285" s="1" t="str">
        <f t="shared" si="12"/>
        <v>First</v>
      </c>
      <c r="C285" s="1" t="s">
        <v>163</v>
      </c>
      <c r="D285" s="2">
        <v>4.7</v>
      </c>
      <c r="E285" s="2">
        <v>17323</v>
      </c>
      <c r="F285" s="2">
        <v>4</v>
      </c>
      <c r="G285" s="2" t="str">
        <f t="shared" si="13"/>
        <v>Normal Price</v>
      </c>
      <c r="H285" s="2">
        <v>2016</v>
      </c>
      <c r="I285" s="1" t="s">
        <v>9</v>
      </c>
      <c r="J285" s="5" t="str">
        <f t="shared" si="14"/>
        <v>Excellent</v>
      </c>
    </row>
    <row r="286" spans="1:10" ht="14.4" x14ac:dyDescent="0.3">
      <c r="A286" s="1" t="s">
        <v>224</v>
      </c>
      <c r="B286" s="1" t="str">
        <f t="shared" si="12"/>
        <v>How</v>
      </c>
      <c r="C286" s="1" t="s">
        <v>225</v>
      </c>
      <c r="D286" s="2">
        <v>4.7</v>
      </c>
      <c r="E286" s="2">
        <v>25001</v>
      </c>
      <c r="F286" s="2">
        <v>11</v>
      </c>
      <c r="G286" s="2" t="str">
        <f t="shared" si="13"/>
        <v>High Price</v>
      </c>
      <c r="H286" s="2">
        <v>2016</v>
      </c>
      <c r="I286" s="1" t="s">
        <v>9</v>
      </c>
      <c r="J286" s="5" t="str">
        <f t="shared" si="14"/>
        <v>Excellent</v>
      </c>
    </row>
    <row r="287" spans="1:10" ht="14.4" x14ac:dyDescent="0.3">
      <c r="A287" s="1" t="s">
        <v>299</v>
      </c>
      <c r="B287" s="1" t="str">
        <f t="shared" si="12"/>
        <v>Milk</v>
      </c>
      <c r="C287" s="1" t="s">
        <v>300</v>
      </c>
      <c r="D287" s="2">
        <v>4.7</v>
      </c>
      <c r="E287" s="2">
        <v>17739</v>
      </c>
      <c r="F287" s="2">
        <v>8</v>
      </c>
      <c r="G287" s="2" t="str">
        <f t="shared" si="13"/>
        <v>Normal Price</v>
      </c>
      <c r="H287" s="2">
        <v>2016</v>
      </c>
      <c r="I287" s="1" t="s">
        <v>9</v>
      </c>
      <c r="J287" s="5" t="str">
        <f t="shared" si="14"/>
        <v>Excellent</v>
      </c>
    </row>
    <row r="288" spans="1:10" ht="14.4" x14ac:dyDescent="0.3">
      <c r="A288" s="1" t="s">
        <v>311</v>
      </c>
      <c r="B288" s="1" t="str">
        <f t="shared" si="12"/>
        <v>Night</v>
      </c>
      <c r="C288" s="1" t="s">
        <v>312</v>
      </c>
      <c r="D288" s="2">
        <v>4.7</v>
      </c>
      <c r="E288" s="2">
        <v>5178</v>
      </c>
      <c r="F288" s="2">
        <v>9</v>
      </c>
      <c r="G288" s="2" t="str">
        <f t="shared" si="13"/>
        <v>Normal Price</v>
      </c>
      <c r="H288" s="2">
        <v>2016</v>
      </c>
      <c r="I288" s="1" t="s">
        <v>9</v>
      </c>
      <c r="J288" s="5" t="str">
        <f t="shared" si="14"/>
        <v>Excellent</v>
      </c>
    </row>
    <row r="289" spans="1:10" ht="14.4" x14ac:dyDescent="0.3">
      <c r="A289" s="1" t="s">
        <v>335</v>
      </c>
      <c r="B289" s="1" t="str">
        <f t="shared" si="12"/>
        <v>PokÃ©mon</v>
      </c>
      <c r="C289" s="1" t="s">
        <v>214</v>
      </c>
      <c r="D289" s="2">
        <v>4.7</v>
      </c>
      <c r="E289" s="2">
        <v>3503</v>
      </c>
      <c r="F289" s="2">
        <v>9</v>
      </c>
      <c r="G289" s="2" t="str">
        <f t="shared" si="13"/>
        <v>Normal Price</v>
      </c>
      <c r="H289" s="2">
        <v>2016</v>
      </c>
      <c r="I289" s="1" t="s">
        <v>12</v>
      </c>
      <c r="J289" s="5" t="str">
        <f t="shared" si="14"/>
        <v>Excellent</v>
      </c>
    </row>
    <row r="290" spans="1:10" ht="14.4" x14ac:dyDescent="0.3">
      <c r="A290" s="1" t="s">
        <v>388</v>
      </c>
      <c r="B290" s="1" t="str">
        <f t="shared" si="12"/>
        <v>The</v>
      </c>
      <c r="C290" s="1" t="s">
        <v>389</v>
      </c>
      <c r="D290" s="2">
        <v>4.7</v>
      </c>
      <c r="E290" s="2">
        <v>4725</v>
      </c>
      <c r="F290" s="2">
        <v>16</v>
      </c>
      <c r="G290" s="2" t="str">
        <f t="shared" si="13"/>
        <v>High Price</v>
      </c>
      <c r="H290" s="2">
        <v>2016</v>
      </c>
      <c r="I290" s="1" t="s">
        <v>9</v>
      </c>
      <c r="J290" s="5" t="str">
        <f t="shared" si="14"/>
        <v>Excellent</v>
      </c>
    </row>
    <row r="291" spans="1:10" ht="14.4" x14ac:dyDescent="0.3">
      <c r="A291" s="1" t="s">
        <v>431</v>
      </c>
      <c r="B291" s="1" t="str">
        <f t="shared" si="12"/>
        <v>The</v>
      </c>
      <c r="C291" s="1" t="s">
        <v>432</v>
      </c>
      <c r="D291" s="2">
        <v>4.7</v>
      </c>
      <c r="E291" s="2">
        <v>23308</v>
      </c>
      <c r="F291" s="2">
        <v>6</v>
      </c>
      <c r="G291" s="2" t="str">
        <f t="shared" si="13"/>
        <v>Normal Price</v>
      </c>
      <c r="H291" s="2">
        <v>2016</v>
      </c>
      <c r="I291" s="1" t="s">
        <v>9</v>
      </c>
      <c r="J291" s="5" t="str">
        <f t="shared" si="14"/>
        <v>Excellent</v>
      </c>
    </row>
    <row r="292" spans="1:10" ht="14.4" x14ac:dyDescent="0.3">
      <c r="A292" s="1" t="s">
        <v>572</v>
      </c>
      <c r="B292" s="1" t="str">
        <f t="shared" si="12"/>
        <v>Uninvited:</v>
      </c>
      <c r="C292" s="1" t="s">
        <v>250</v>
      </c>
      <c r="D292" s="2">
        <v>4.7</v>
      </c>
      <c r="E292" s="2">
        <v>4585</v>
      </c>
      <c r="F292" s="2">
        <v>9</v>
      </c>
      <c r="G292" s="2" t="str">
        <f t="shared" si="13"/>
        <v>Normal Price</v>
      </c>
      <c r="H292" s="2">
        <v>2016</v>
      </c>
      <c r="I292" s="1" t="s">
        <v>9</v>
      </c>
      <c r="J292" s="5" t="str">
        <f t="shared" si="14"/>
        <v>Excellent</v>
      </c>
    </row>
    <row r="293" spans="1:10" ht="14.4" x14ac:dyDescent="0.3">
      <c r="A293" s="1" t="s">
        <v>605</v>
      </c>
      <c r="B293" s="1" t="str">
        <f t="shared" si="12"/>
        <v>You</v>
      </c>
      <c r="C293" s="1" t="s">
        <v>606</v>
      </c>
      <c r="D293" s="2">
        <v>4.7</v>
      </c>
      <c r="E293" s="2">
        <v>14331</v>
      </c>
      <c r="F293" s="2">
        <v>8</v>
      </c>
      <c r="G293" s="2" t="str">
        <f t="shared" si="13"/>
        <v>Normal Price</v>
      </c>
      <c r="H293" s="2">
        <v>2016</v>
      </c>
      <c r="I293" s="1" t="s">
        <v>9</v>
      </c>
      <c r="J293" s="5" t="str">
        <f t="shared" si="14"/>
        <v>Excellent</v>
      </c>
    </row>
    <row r="294" spans="1:10" ht="14.4" x14ac:dyDescent="0.3">
      <c r="A294" s="1" t="s">
        <v>15</v>
      </c>
      <c r="B294" s="1" t="str">
        <f t="shared" si="12"/>
        <v>1984</v>
      </c>
      <c r="C294" s="1" t="s">
        <v>16</v>
      </c>
      <c r="D294" s="2">
        <v>4.7</v>
      </c>
      <c r="E294" s="2">
        <v>21424</v>
      </c>
      <c r="F294" s="2">
        <v>6</v>
      </c>
      <c r="G294" s="2" t="str">
        <f t="shared" si="13"/>
        <v>Normal Price</v>
      </c>
      <c r="H294" s="2">
        <v>2017</v>
      </c>
      <c r="I294" s="1" t="s">
        <v>12</v>
      </c>
      <c r="J294" s="5" t="str">
        <f t="shared" si="14"/>
        <v>Excellent</v>
      </c>
    </row>
    <row r="295" spans="1:10" ht="14.4" x14ac:dyDescent="0.3">
      <c r="A295" s="1" t="s">
        <v>22</v>
      </c>
      <c r="B295" s="1" t="str">
        <f t="shared" si="12"/>
        <v>A</v>
      </c>
      <c r="C295" s="1" t="s">
        <v>23</v>
      </c>
      <c r="D295" s="2">
        <v>4.7</v>
      </c>
      <c r="E295" s="2">
        <v>19699</v>
      </c>
      <c r="F295" s="2">
        <v>15</v>
      </c>
      <c r="G295" s="2" t="str">
        <f t="shared" si="13"/>
        <v>High Price</v>
      </c>
      <c r="H295" s="2">
        <v>2017</v>
      </c>
      <c r="I295" s="1" t="s">
        <v>12</v>
      </c>
      <c r="J295" s="5" t="str">
        <f t="shared" si="14"/>
        <v>Excellent</v>
      </c>
    </row>
    <row r="296" spans="1:10" ht="14.4" x14ac:dyDescent="0.3">
      <c r="A296" s="1" t="s">
        <v>54</v>
      </c>
      <c r="B296" s="1" t="str">
        <f t="shared" si="12"/>
        <v>Astrophysics</v>
      </c>
      <c r="C296" s="1" t="s">
        <v>55</v>
      </c>
      <c r="D296" s="2">
        <v>4.7</v>
      </c>
      <c r="E296" s="2">
        <v>9374</v>
      </c>
      <c r="F296" s="2">
        <v>9</v>
      </c>
      <c r="G296" s="2" t="str">
        <f t="shared" si="13"/>
        <v>Normal Price</v>
      </c>
      <c r="H296" s="2">
        <v>2017</v>
      </c>
      <c r="I296" s="1" t="s">
        <v>9</v>
      </c>
      <c r="J296" s="5" t="str">
        <f t="shared" si="14"/>
        <v>Excellent</v>
      </c>
    </row>
    <row r="297" spans="1:10" ht="14.4" x14ac:dyDescent="0.3">
      <c r="A297" s="1" t="s">
        <v>162</v>
      </c>
      <c r="B297" s="1" t="str">
        <f t="shared" si="12"/>
        <v>First</v>
      </c>
      <c r="C297" s="1" t="s">
        <v>163</v>
      </c>
      <c r="D297" s="2">
        <v>4.7</v>
      </c>
      <c r="E297" s="2">
        <v>17323</v>
      </c>
      <c r="F297" s="2">
        <v>4</v>
      </c>
      <c r="G297" s="2" t="str">
        <f t="shared" si="13"/>
        <v>Normal Price</v>
      </c>
      <c r="H297" s="2">
        <v>2017</v>
      </c>
      <c r="I297" s="1" t="s">
        <v>9</v>
      </c>
      <c r="J297" s="5" t="str">
        <f t="shared" si="14"/>
        <v>Excellent</v>
      </c>
    </row>
    <row r="298" spans="1:10" ht="14.4" x14ac:dyDescent="0.3">
      <c r="A298" s="1" t="s">
        <v>224</v>
      </c>
      <c r="B298" s="1" t="str">
        <f t="shared" si="12"/>
        <v>How</v>
      </c>
      <c r="C298" s="1" t="s">
        <v>225</v>
      </c>
      <c r="D298" s="2">
        <v>4.7</v>
      </c>
      <c r="E298" s="2">
        <v>25001</v>
      </c>
      <c r="F298" s="2">
        <v>11</v>
      </c>
      <c r="G298" s="2" t="str">
        <f t="shared" si="13"/>
        <v>High Price</v>
      </c>
      <c r="H298" s="2">
        <v>2017</v>
      </c>
      <c r="I298" s="1" t="s">
        <v>9</v>
      </c>
      <c r="J298" s="5" t="str">
        <f t="shared" si="14"/>
        <v>Excellent</v>
      </c>
    </row>
    <row r="299" spans="1:10" ht="14.4" x14ac:dyDescent="0.3">
      <c r="A299" s="1" t="s">
        <v>295</v>
      </c>
      <c r="B299" s="1" t="str">
        <f t="shared" si="12"/>
        <v>Make</v>
      </c>
      <c r="C299" s="1" t="s">
        <v>296</v>
      </c>
      <c r="D299" s="2">
        <v>4.7</v>
      </c>
      <c r="E299" s="2">
        <v>10199</v>
      </c>
      <c r="F299" s="2">
        <v>11</v>
      </c>
      <c r="G299" s="2" t="str">
        <f t="shared" si="13"/>
        <v>High Price</v>
      </c>
      <c r="H299" s="2">
        <v>2017</v>
      </c>
      <c r="I299" s="1" t="s">
        <v>9</v>
      </c>
      <c r="J299" s="5" t="str">
        <f t="shared" si="14"/>
        <v>Excellent</v>
      </c>
    </row>
    <row r="300" spans="1:10" ht="14.4" x14ac:dyDescent="0.3">
      <c r="A300" s="1" t="s">
        <v>299</v>
      </c>
      <c r="B300" s="1" t="str">
        <f t="shared" si="12"/>
        <v>Milk</v>
      </c>
      <c r="C300" s="1" t="s">
        <v>300</v>
      </c>
      <c r="D300" s="2">
        <v>4.7</v>
      </c>
      <c r="E300" s="2">
        <v>17739</v>
      </c>
      <c r="F300" s="2">
        <v>8</v>
      </c>
      <c r="G300" s="2" t="str">
        <f t="shared" si="13"/>
        <v>Normal Price</v>
      </c>
      <c r="H300" s="2">
        <v>2017</v>
      </c>
      <c r="I300" s="1" t="s">
        <v>9</v>
      </c>
      <c r="J300" s="5" t="str">
        <f t="shared" si="14"/>
        <v>Excellent</v>
      </c>
    </row>
    <row r="301" spans="1:10" ht="14.4" x14ac:dyDescent="0.3">
      <c r="A301" s="1" t="s">
        <v>388</v>
      </c>
      <c r="B301" s="1" t="str">
        <f t="shared" si="12"/>
        <v>The</v>
      </c>
      <c r="C301" s="1" t="s">
        <v>389</v>
      </c>
      <c r="D301" s="2">
        <v>4.7</v>
      </c>
      <c r="E301" s="2">
        <v>4725</v>
      </c>
      <c r="F301" s="2">
        <v>16</v>
      </c>
      <c r="G301" s="2" t="str">
        <f t="shared" si="13"/>
        <v>High Price</v>
      </c>
      <c r="H301" s="2">
        <v>2017</v>
      </c>
      <c r="I301" s="1" t="s">
        <v>9</v>
      </c>
      <c r="J301" s="5" t="str">
        <f t="shared" si="14"/>
        <v>Excellent</v>
      </c>
    </row>
    <row r="302" spans="1:10" ht="14.4" x14ac:dyDescent="0.3">
      <c r="A302" s="1" t="s">
        <v>431</v>
      </c>
      <c r="B302" s="1" t="str">
        <f t="shared" si="12"/>
        <v>The</v>
      </c>
      <c r="C302" s="1" t="s">
        <v>432</v>
      </c>
      <c r="D302" s="2">
        <v>4.7</v>
      </c>
      <c r="E302" s="2">
        <v>23308</v>
      </c>
      <c r="F302" s="2">
        <v>6</v>
      </c>
      <c r="G302" s="2" t="str">
        <f t="shared" si="13"/>
        <v>Normal Price</v>
      </c>
      <c r="H302" s="2">
        <v>2017</v>
      </c>
      <c r="I302" s="1" t="s">
        <v>9</v>
      </c>
      <c r="J302" s="5" t="str">
        <f t="shared" si="14"/>
        <v>Excellent</v>
      </c>
    </row>
    <row r="303" spans="1:10" ht="14.4" x14ac:dyDescent="0.3">
      <c r="A303" s="1" t="s">
        <v>522</v>
      </c>
      <c r="B303" s="1" t="str">
        <f t="shared" si="12"/>
        <v>The</v>
      </c>
      <c r="C303" s="1" t="s">
        <v>300</v>
      </c>
      <c r="D303" s="2">
        <v>4.7</v>
      </c>
      <c r="E303" s="2">
        <v>5487</v>
      </c>
      <c r="F303" s="2">
        <v>9</v>
      </c>
      <c r="G303" s="2" t="str">
        <f t="shared" si="13"/>
        <v>Normal Price</v>
      </c>
      <c r="H303" s="2">
        <v>2017</v>
      </c>
      <c r="I303" s="1" t="s">
        <v>9</v>
      </c>
      <c r="J303" s="5" t="str">
        <f t="shared" si="14"/>
        <v>Excellent</v>
      </c>
    </row>
    <row r="304" spans="1:10" ht="14.4" x14ac:dyDescent="0.3">
      <c r="A304" s="1" t="s">
        <v>605</v>
      </c>
      <c r="B304" s="1" t="str">
        <f t="shared" si="12"/>
        <v>You</v>
      </c>
      <c r="C304" s="1" t="s">
        <v>606</v>
      </c>
      <c r="D304" s="2">
        <v>4.7</v>
      </c>
      <c r="E304" s="2">
        <v>14331</v>
      </c>
      <c r="F304" s="2">
        <v>8</v>
      </c>
      <c r="G304" s="2" t="str">
        <f t="shared" si="13"/>
        <v>Normal Price</v>
      </c>
      <c r="H304" s="2">
        <v>2017</v>
      </c>
      <c r="I304" s="1" t="s">
        <v>9</v>
      </c>
      <c r="J304" s="5" t="str">
        <f t="shared" si="14"/>
        <v>Excellent</v>
      </c>
    </row>
    <row r="305" spans="1:10" ht="14.4" x14ac:dyDescent="0.3">
      <c r="A305" s="1" t="s">
        <v>13</v>
      </c>
      <c r="B305" s="1" t="str">
        <f t="shared" si="12"/>
        <v>12</v>
      </c>
      <c r="C305" s="1" t="s">
        <v>14</v>
      </c>
      <c r="D305" s="2">
        <v>4.7</v>
      </c>
      <c r="E305" s="2">
        <v>18979</v>
      </c>
      <c r="F305" s="2">
        <v>15</v>
      </c>
      <c r="G305" s="2" t="str">
        <f t="shared" si="13"/>
        <v>High Price</v>
      </c>
      <c r="H305" s="2">
        <v>2018</v>
      </c>
      <c r="I305" s="1" t="s">
        <v>9</v>
      </c>
      <c r="J305" s="5" t="str">
        <f t="shared" si="14"/>
        <v>Excellent</v>
      </c>
    </row>
    <row r="306" spans="1:10" ht="14.4" x14ac:dyDescent="0.3">
      <c r="A306" s="1" t="s">
        <v>24</v>
      </c>
      <c r="B306" s="1" t="str">
        <f t="shared" si="12"/>
        <v>A</v>
      </c>
      <c r="C306" s="1" t="s">
        <v>25</v>
      </c>
      <c r="D306" s="2">
        <v>4.7</v>
      </c>
      <c r="E306" s="2">
        <v>5983</v>
      </c>
      <c r="F306" s="2">
        <v>3</v>
      </c>
      <c r="G306" s="2" t="str">
        <f t="shared" si="13"/>
        <v>Normal Price</v>
      </c>
      <c r="H306" s="2">
        <v>2018</v>
      </c>
      <c r="I306" s="1" t="s">
        <v>9</v>
      </c>
      <c r="J306" s="5" t="str">
        <f t="shared" si="14"/>
        <v>Excellent</v>
      </c>
    </row>
    <row r="307" spans="1:10" ht="14.4" x14ac:dyDescent="0.3">
      <c r="A307" s="1" t="s">
        <v>145</v>
      </c>
      <c r="B307" s="1" t="str">
        <f t="shared" si="12"/>
        <v>Educated:</v>
      </c>
      <c r="C307" s="1" t="s">
        <v>146</v>
      </c>
      <c r="D307" s="2">
        <v>4.7</v>
      </c>
      <c r="E307" s="2">
        <v>28729</v>
      </c>
      <c r="F307" s="2">
        <v>15</v>
      </c>
      <c r="G307" s="2" t="str">
        <f t="shared" si="13"/>
        <v>High Price</v>
      </c>
      <c r="H307" s="2">
        <v>2018</v>
      </c>
      <c r="I307" s="1" t="s">
        <v>9</v>
      </c>
      <c r="J307" s="5" t="str">
        <f t="shared" si="14"/>
        <v>Excellent</v>
      </c>
    </row>
    <row r="308" spans="1:10" ht="14.4" x14ac:dyDescent="0.3">
      <c r="A308" s="1" t="s">
        <v>162</v>
      </c>
      <c r="B308" s="1" t="str">
        <f t="shared" si="12"/>
        <v>First</v>
      </c>
      <c r="C308" s="1" t="s">
        <v>163</v>
      </c>
      <c r="D308" s="2">
        <v>4.7</v>
      </c>
      <c r="E308" s="2">
        <v>17323</v>
      </c>
      <c r="F308" s="2">
        <v>4</v>
      </c>
      <c r="G308" s="2" t="str">
        <f t="shared" si="13"/>
        <v>Normal Price</v>
      </c>
      <c r="H308" s="2">
        <v>2018</v>
      </c>
      <c r="I308" s="1" t="s">
        <v>9</v>
      </c>
      <c r="J308" s="5" t="str">
        <f t="shared" si="14"/>
        <v>Excellent</v>
      </c>
    </row>
    <row r="309" spans="1:10" ht="14.4" x14ac:dyDescent="0.3">
      <c r="A309" s="1" t="s">
        <v>224</v>
      </c>
      <c r="B309" s="1" t="str">
        <f t="shared" si="12"/>
        <v>How</v>
      </c>
      <c r="C309" s="1" t="s">
        <v>225</v>
      </c>
      <c r="D309" s="2">
        <v>4.7</v>
      </c>
      <c r="E309" s="2">
        <v>25001</v>
      </c>
      <c r="F309" s="2">
        <v>11</v>
      </c>
      <c r="G309" s="2" t="str">
        <f t="shared" si="13"/>
        <v>High Price</v>
      </c>
      <c r="H309" s="2">
        <v>2018</v>
      </c>
      <c r="I309" s="1" t="s">
        <v>9</v>
      </c>
      <c r="J309" s="5" t="str">
        <f t="shared" si="14"/>
        <v>Excellent</v>
      </c>
    </row>
    <row r="310" spans="1:10" ht="14.4" x14ac:dyDescent="0.3">
      <c r="A310" s="1" t="s">
        <v>299</v>
      </c>
      <c r="B310" s="1" t="str">
        <f t="shared" si="12"/>
        <v>Milk</v>
      </c>
      <c r="C310" s="1" t="s">
        <v>300</v>
      </c>
      <c r="D310" s="2">
        <v>4.7</v>
      </c>
      <c r="E310" s="2">
        <v>17739</v>
      </c>
      <c r="F310" s="2">
        <v>8</v>
      </c>
      <c r="G310" s="2" t="str">
        <f t="shared" si="13"/>
        <v>Normal Price</v>
      </c>
      <c r="H310" s="2">
        <v>2018</v>
      </c>
      <c r="I310" s="1" t="s">
        <v>9</v>
      </c>
      <c r="J310" s="5" t="str">
        <f t="shared" si="14"/>
        <v>Excellent</v>
      </c>
    </row>
    <row r="311" spans="1:10" ht="14.4" x14ac:dyDescent="0.3">
      <c r="A311" s="1" t="s">
        <v>329</v>
      </c>
      <c r="B311" s="1" t="str">
        <f t="shared" si="12"/>
        <v>P</v>
      </c>
      <c r="C311" s="1" t="s">
        <v>330</v>
      </c>
      <c r="D311" s="2">
        <v>4.7</v>
      </c>
      <c r="E311" s="2">
        <v>10820</v>
      </c>
      <c r="F311" s="2">
        <v>5</v>
      </c>
      <c r="G311" s="2" t="str">
        <f t="shared" si="13"/>
        <v>Normal Price</v>
      </c>
      <c r="H311" s="2">
        <v>2018</v>
      </c>
      <c r="I311" s="1" t="s">
        <v>9</v>
      </c>
      <c r="J311" s="5" t="str">
        <f t="shared" si="14"/>
        <v>Excellent</v>
      </c>
    </row>
    <row r="312" spans="1:10" ht="14.4" x14ac:dyDescent="0.3">
      <c r="A312" s="1" t="s">
        <v>431</v>
      </c>
      <c r="B312" s="1" t="str">
        <f t="shared" si="12"/>
        <v>The</v>
      </c>
      <c r="C312" s="1" t="s">
        <v>432</v>
      </c>
      <c r="D312" s="2">
        <v>4.7</v>
      </c>
      <c r="E312" s="2">
        <v>23308</v>
      </c>
      <c r="F312" s="2">
        <v>6</v>
      </c>
      <c r="G312" s="2" t="str">
        <f t="shared" si="13"/>
        <v>Normal Price</v>
      </c>
      <c r="H312" s="2">
        <v>2018</v>
      </c>
      <c r="I312" s="1" t="s">
        <v>9</v>
      </c>
      <c r="J312" s="5" t="str">
        <f t="shared" si="14"/>
        <v>Excellent</v>
      </c>
    </row>
    <row r="313" spans="1:10" ht="14.4" x14ac:dyDescent="0.3">
      <c r="A313" s="1" t="s">
        <v>605</v>
      </c>
      <c r="B313" s="1" t="str">
        <f t="shared" si="12"/>
        <v>You</v>
      </c>
      <c r="C313" s="1" t="s">
        <v>606</v>
      </c>
      <c r="D313" s="2">
        <v>4.7</v>
      </c>
      <c r="E313" s="2">
        <v>14331</v>
      </c>
      <c r="F313" s="2">
        <v>8</v>
      </c>
      <c r="G313" s="2" t="str">
        <f t="shared" si="13"/>
        <v>Normal Price</v>
      </c>
      <c r="H313" s="2">
        <v>2018</v>
      </c>
      <c r="I313" s="1" t="s">
        <v>9</v>
      </c>
      <c r="J313" s="5" t="str">
        <f t="shared" si="14"/>
        <v>Excellent</v>
      </c>
    </row>
    <row r="314" spans="1:10" ht="14.4" x14ac:dyDescent="0.3">
      <c r="A314" s="1" t="s">
        <v>145</v>
      </c>
      <c r="B314" s="1" t="str">
        <f t="shared" si="12"/>
        <v>Educated:</v>
      </c>
      <c r="C314" s="1" t="s">
        <v>146</v>
      </c>
      <c r="D314" s="2">
        <v>4.7</v>
      </c>
      <c r="E314" s="2">
        <v>28729</v>
      </c>
      <c r="F314" s="2">
        <v>15</v>
      </c>
      <c r="G314" s="2" t="str">
        <f t="shared" si="13"/>
        <v>High Price</v>
      </c>
      <c r="H314" s="2">
        <v>2019</v>
      </c>
      <c r="I314" s="1" t="s">
        <v>9</v>
      </c>
      <c r="J314" s="5" t="str">
        <f t="shared" si="14"/>
        <v>Excellent</v>
      </c>
    </row>
    <row r="315" spans="1:10" ht="14.4" x14ac:dyDescent="0.3">
      <c r="A315" s="1" t="s">
        <v>329</v>
      </c>
      <c r="B315" s="1" t="str">
        <f t="shared" si="12"/>
        <v>P</v>
      </c>
      <c r="C315" s="1" t="s">
        <v>330</v>
      </c>
      <c r="D315" s="2">
        <v>4.7</v>
      </c>
      <c r="E315" s="2">
        <v>10820</v>
      </c>
      <c r="F315" s="2">
        <v>5</v>
      </c>
      <c r="G315" s="2" t="str">
        <f t="shared" si="13"/>
        <v>Normal Price</v>
      </c>
      <c r="H315" s="2">
        <v>2019</v>
      </c>
      <c r="I315" s="1" t="s">
        <v>9</v>
      </c>
      <c r="J315" s="5" t="str">
        <f t="shared" si="14"/>
        <v>Excellent</v>
      </c>
    </row>
    <row r="316" spans="1:10" ht="14.4" x14ac:dyDescent="0.3">
      <c r="A316" s="1" t="s">
        <v>431</v>
      </c>
      <c r="B316" s="1" t="str">
        <f t="shared" si="12"/>
        <v>The</v>
      </c>
      <c r="C316" s="1" t="s">
        <v>432</v>
      </c>
      <c r="D316" s="2">
        <v>4.7</v>
      </c>
      <c r="E316" s="2">
        <v>23308</v>
      </c>
      <c r="F316" s="2">
        <v>6</v>
      </c>
      <c r="G316" s="2" t="str">
        <f t="shared" si="13"/>
        <v>Normal Price</v>
      </c>
      <c r="H316" s="2">
        <v>2019</v>
      </c>
      <c r="I316" s="1" t="s">
        <v>9</v>
      </c>
      <c r="J316" s="5" t="str">
        <f t="shared" si="14"/>
        <v>Excellent</v>
      </c>
    </row>
    <row r="317" spans="1:10" ht="14.4" x14ac:dyDescent="0.3">
      <c r="A317" s="1" t="s">
        <v>528</v>
      </c>
      <c r="B317" s="1" t="str">
        <f t="shared" si="12"/>
        <v>The</v>
      </c>
      <c r="C317" s="1" t="s">
        <v>529</v>
      </c>
      <c r="D317" s="2">
        <v>4.7</v>
      </c>
      <c r="E317" s="2">
        <v>11550</v>
      </c>
      <c r="F317" s="2">
        <v>10</v>
      </c>
      <c r="G317" s="2" t="str">
        <f t="shared" si="13"/>
        <v>Normal Price</v>
      </c>
      <c r="H317" s="2">
        <v>2019</v>
      </c>
      <c r="I317" s="1" t="s">
        <v>9</v>
      </c>
      <c r="J317" s="5" t="str">
        <f t="shared" si="14"/>
        <v>Excellent</v>
      </c>
    </row>
    <row r="318" spans="1:10" ht="14.4" x14ac:dyDescent="0.3">
      <c r="A318" s="1" t="s">
        <v>532</v>
      </c>
      <c r="B318" s="1" t="str">
        <f t="shared" si="12"/>
        <v>The</v>
      </c>
      <c r="C318" s="1" t="s">
        <v>533</v>
      </c>
      <c r="D318" s="2">
        <v>4.7</v>
      </c>
      <c r="E318" s="2">
        <v>9030</v>
      </c>
      <c r="F318" s="2">
        <v>10</v>
      </c>
      <c r="G318" s="2" t="str">
        <f t="shared" si="13"/>
        <v>Normal Price</v>
      </c>
      <c r="H318" s="2">
        <v>2019</v>
      </c>
      <c r="I318" s="1" t="s">
        <v>9</v>
      </c>
      <c r="J318" s="5" t="str">
        <f t="shared" si="14"/>
        <v>Excellent</v>
      </c>
    </row>
    <row r="319" spans="1:10" ht="14.4" x14ac:dyDescent="0.3">
      <c r="A319" s="1" t="s">
        <v>605</v>
      </c>
      <c r="B319" s="1" t="str">
        <f t="shared" si="12"/>
        <v>You</v>
      </c>
      <c r="C319" s="1" t="s">
        <v>606</v>
      </c>
      <c r="D319" s="2">
        <v>4.7</v>
      </c>
      <c r="E319" s="2">
        <v>14331</v>
      </c>
      <c r="F319" s="2">
        <v>8</v>
      </c>
      <c r="G319" s="2" t="str">
        <f t="shared" si="13"/>
        <v>Normal Price</v>
      </c>
      <c r="H319" s="2">
        <v>2019</v>
      </c>
      <c r="I319" s="1" t="s">
        <v>9</v>
      </c>
      <c r="J319" s="5" t="str">
        <f t="shared" si="14"/>
        <v>Excellent</v>
      </c>
    </row>
    <row r="320" spans="1:10" ht="13.2" x14ac:dyDescent="0.25">
      <c r="A320" s="3" t="s">
        <v>620</v>
      </c>
      <c r="B320" s="3" t="str">
        <f t="shared" si="12"/>
        <v>The</v>
      </c>
      <c r="C320" s="3" t="s">
        <v>87</v>
      </c>
      <c r="D320" s="3">
        <v>4.7</v>
      </c>
      <c r="E320" s="3">
        <v>37173</v>
      </c>
      <c r="F320" s="3">
        <v>14</v>
      </c>
      <c r="G320" s="3" t="str">
        <f t="shared" si="13"/>
        <v>High Price</v>
      </c>
      <c r="H320" s="3">
        <v>2020</v>
      </c>
      <c r="I320" s="3" t="s">
        <v>12</v>
      </c>
      <c r="J320" s="5" t="str">
        <f t="shared" si="14"/>
        <v>Excellent</v>
      </c>
    </row>
    <row r="321" spans="1:10" ht="13.2" x14ac:dyDescent="0.25">
      <c r="A321" s="3" t="s">
        <v>625</v>
      </c>
      <c r="B321" s="3" t="str">
        <f t="shared" si="12"/>
        <v>The</v>
      </c>
      <c r="C321" s="3" t="s">
        <v>626</v>
      </c>
      <c r="D321" s="3">
        <v>4.7</v>
      </c>
      <c r="E321" s="3">
        <v>45368</v>
      </c>
      <c r="F321" s="3">
        <v>6</v>
      </c>
      <c r="G321" s="3" t="str">
        <f t="shared" si="13"/>
        <v>Normal Price</v>
      </c>
      <c r="H321" s="3">
        <v>2020</v>
      </c>
      <c r="I321" s="3" t="s">
        <v>9</v>
      </c>
      <c r="J321" s="5" t="str">
        <f t="shared" si="14"/>
        <v>Excellent</v>
      </c>
    </row>
    <row r="322" spans="1:10" ht="13.2" x14ac:dyDescent="0.25">
      <c r="A322" s="3" t="s">
        <v>627</v>
      </c>
      <c r="B322" s="3" t="str">
        <f t="shared" ref="B322:B385" si="15">LEFT(A322,FIND(" ",A322&amp;" ")-1)</f>
        <v>Rage</v>
      </c>
      <c r="C322" s="3" t="s">
        <v>154</v>
      </c>
      <c r="D322" s="3">
        <v>4.7</v>
      </c>
      <c r="E322" s="3">
        <v>27788</v>
      </c>
      <c r="F322" s="3">
        <v>15</v>
      </c>
      <c r="G322" s="3" t="str">
        <f t="shared" ref="G322:G385" si="16">IF(F322&gt;10,"High Price","Normal Price")</f>
        <v>High Price</v>
      </c>
      <c r="H322" s="3">
        <v>2020</v>
      </c>
      <c r="I322" s="3" t="s">
        <v>9</v>
      </c>
      <c r="J322" s="5" t="str">
        <f t="shared" ref="J322:J385" si="17">IF(D322&gt;=4.5,"Excellent",IF(D322&gt;=4,"Good","Average"))</f>
        <v>Excellent</v>
      </c>
    </row>
    <row r="323" spans="1:10" ht="13.2" x14ac:dyDescent="0.25">
      <c r="A323" s="3" t="s">
        <v>630</v>
      </c>
      <c r="B323" s="3" t="str">
        <f t="shared" si="15"/>
        <v>Greenlights</v>
      </c>
      <c r="C323" s="3" t="s">
        <v>631</v>
      </c>
      <c r="D323" s="3">
        <v>4.7</v>
      </c>
      <c r="E323" s="3">
        <v>26740</v>
      </c>
      <c r="F323" s="3">
        <v>18</v>
      </c>
      <c r="G323" s="3" t="str">
        <f t="shared" si="16"/>
        <v>High Price</v>
      </c>
      <c r="H323" s="3">
        <v>2020</v>
      </c>
      <c r="I323" s="3" t="s">
        <v>9</v>
      </c>
      <c r="J323" s="5" t="str">
        <f t="shared" si="17"/>
        <v>Excellent</v>
      </c>
    </row>
    <row r="324" spans="1:10" ht="13.2" x14ac:dyDescent="0.25">
      <c r="A324" s="3" t="s">
        <v>643</v>
      </c>
      <c r="B324" s="3" t="str">
        <f t="shared" si="15"/>
        <v>The</v>
      </c>
      <c r="C324" s="3" t="s">
        <v>644</v>
      </c>
      <c r="D324" s="3">
        <v>4.7</v>
      </c>
      <c r="E324" s="3">
        <v>15424</v>
      </c>
      <c r="F324" s="3">
        <v>19</v>
      </c>
      <c r="G324" s="3" t="str">
        <f t="shared" si="16"/>
        <v>High Price</v>
      </c>
      <c r="H324" s="3">
        <v>2020</v>
      </c>
      <c r="I324" s="3" t="s">
        <v>9</v>
      </c>
      <c r="J324" s="5" t="str">
        <f t="shared" si="17"/>
        <v>Excellent</v>
      </c>
    </row>
    <row r="325" spans="1:10" ht="13.2" x14ac:dyDescent="0.25">
      <c r="A325" s="3" t="s">
        <v>660</v>
      </c>
      <c r="B325" s="3" t="str">
        <f t="shared" si="15"/>
        <v>The</v>
      </c>
      <c r="C325" s="3" t="s">
        <v>661</v>
      </c>
      <c r="D325" s="3">
        <v>4.7</v>
      </c>
      <c r="E325" s="4">
        <v>11668</v>
      </c>
      <c r="F325" s="3">
        <v>9</v>
      </c>
      <c r="G325" s="3" t="str">
        <f t="shared" si="16"/>
        <v>Normal Price</v>
      </c>
      <c r="H325" s="3">
        <v>2020</v>
      </c>
      <c r="I325" s="4" t="s">
        <v>12</v>
      </c>
      <c r="J325" s="5" t="str">
        <f t="shared" si="17"/>
        <v>Excellent</v>
      </c>
    </row>
    <row r="326" spans="1:10" ht="13.2" x14ac:dyDescent="0.25">
      <c r="A326" s="3" t="s">
        <v>667</v>
      </c>
      <c r="B326" s="3" t="str">
        <f t="shared" si="15"/>
        <v>Get</v>
      </c>
      <c r="C326" s="3" t="s">
        <v>668</v>
      </c>
      <c r="D326" s="3">
        <v>4.7</v>
      </c>
      <c r="E326" s="3">
        <v>12879</v>
      </c>
      <c r="F326" s="4">
        <v>14</v>
      </c>
      <c r="G326" s="4" t="str">
        <f t="shared" si="16"/>
        <v>High Price</v>
      </c>
      <c r="H326" s="3">
        <v>2020</v>
      </c>
      <c r="I326" s="3" t="s">
        <v>9</v>
      </c>
      <c r="J326" s="5" t="str">
        <f t="shared" si="17"/>
        <v>Excellent</v>
      </c>
    </row>
    <row r="327" spans="1:10" ht="13.2" x14ac:dyDescent="0.25">
      <c r="A327" s="3" t="s">
        <v>669</v>
      </c>
      <c r="B327" s="3" t="str">
        <f t="shared" si="15"/>
        <v>Human</v>
      </c>
      <c r="C327" s="4" t="s">
        <v>670</v>
      </c>
      <c r="D327" s="3">
        <v>4.7</v>
      </c>
      <c r="E327" s="3">
        <v>14128</v>
      </c>
      <c r="F327" s="3">
        <v>5</v>
      </c>
      <c r="G327" s="3" t="str">
        <f t="shared" si="16"/>
        <v>Normal Price</v>
      </c>
      <c r="H327" s="3">
        <v>2020</v>
      </c>
      <c r="I327" s="3" t="s">
        <v>9</v>
      </c>
      <c r="J327" s="5" t="str">
        <f t="shared" si="17"/>
        <v>Excellent</v>
      </c>
    </row>
    <row r="328" spans="1:10" ht="13.2" x14ac:dyDescent="0.25">
      <c r="A328" s="3" t="s">
        <v>145</v>
      </c>
      <c r="B328" s="3" t="str">
        <f t="shared" si="15"/>
        <v>Educated:</v>
      </c>
      <c r="C328" s="3" t="s">
        <v>671</v>
      </c>
      <c r="D328" s="3">
        <v>4.7</v>
      </c>
      <c r="E328" s="3">
        <v>45351</v>
      </c>
      <c r="F328" s="3">
        <v>11</v>
      </c>
      <c r="G328" s="3" t="str">
        <f t="shared" si="16"/>
        <v>High Price</v>
      </c>
      <c r="H328" s="3">
        <v>2020</v>
      </c>
      <c r="I328" s="3" t="s">
        <v>9</v>
      </c>
      <c r="J328" s="5" t="str">
        <f t="shared" si="17"/>
        <v>Excellent</v>
      </c>
    </row>
    <row r="329" spans="1:10" ht="14.4" x14ac:dyDescent="0.3">
      <c r="A329" s="6"/>
      <c r="B329" s="6" t="str">
        <f t="shared" si="15"/>
        <v/>
      </c>
      <c r="C329" s="1" t="s">
        <v>34</v>
      </c>
      <c r="D329" s="2">
        <v>4.5999999999999996</v>
      </c>
      <c r="E329" s="2">
        <v>5013</v>
      </c>
      <c r="F329" s="2">
        <v>17</v>
      </c>
      <c r="G329" s="2" t="str">
        <f t="shared" si="16"/>
        <v>High Price</v>
      </c>
      <c r="H329" s="2">
        <v>2009</v>
      </c>
      <c r="I329" s="1" t="s">
        <v>9</v>
      </c>
      <c r="J329" s="5" t="str">
        <f t="shared" si="17"/>
        <v>Excellent</v>
      </c>
    </row>
    <row r="330" spans="1:10" ht="14.4" x14ac:dyDescent="0.3">
      <c r="A330" s="1" t="s">
        <v>52</v>
      </c>
      <c r="B330" s="1" t="str">
        <f t="shared" si="15"/>
        <v>Arguing</v>
      </c>
      <c r="C330" s="1" t="s">
        <v>53</v>
      </c>
      <c r="D330" s="2">
        <v>4.5999999999999996</v>
      </c>
      <c r="E330" s="2">
        <v>798</v>
      </c>
      <c r="F330" s="2">
        <v>5</v>
      </c>
      <c r="G330" s="2" t="str">
        <f t="shared" si="16"/>
        <v>Normal Price</v>
      </c>
      <c r="H330" s="2">
        <v>2009</v>
      </c>
      <c r="I330" s="1" t="s">
        <v>9</v>
      </c>
      <c r="J330" s="5" t="str">
        <f t="shared" si="17"/>
        <v>Excellent</v>
      </c>
    </row>
    <row r="331" spans="1:10" ht="14.4" x14ac:dyDescent="0.3">
      <c r="A331" s="1" t="s">
        <v>73</v>
      </c>
      <c r="B331" s="1" t="str">
        <f t="shared" si="15"/>
        <v>Breaking</v>
      </c>
      <c r="C331" s="1" t="s">
        <v>74</v>
      </c>
      <c r="D331" s="2">
        <v>4.5999999999999996</v>
      </c>
      <c r="E331" s="2">
        <v>9769</v>
      </c>
      <c r="F331" s="2">
        <v>13</v>
      </c>
      <c r="G331" s="2" t="str">
        <f t="shared" si="16"/>
        <v>High Price</v>
      </c>
      <c r="H331" s="2">
        <v>2009</v>
      </c>
      <c r="I331" s="1" t="s">
        <v>12</v>
      </c>
      <c r="J331" s="5" t="str">
        <f t="shared" si="17"/>
        <v>Excellent</v>
      </c>
    </row>
    <row r="332" spans="1:10" ht="14.4" x14ac:dyDescent="0.3">
      <c r="A332" s="1" t="s">
        <v>103</v>
      </c>
      <c r="B332" s="1" t="str">
        <f t="shared" si="15"/>
        <v>Dead</v>
      </c>
      <c r="C332" s="1" t="s">
        <v>104</v>
      </c>
      <c r="D332" s="2">
        <v>4.5999999999999996</v>
      </c>
      <c r="E332" s="2">
        <v>1541</v>
      </c>
      <c r="F332" s="2">
        <v>4</v>
      </c>
      <c r="G332" s="2" t="str">
        <f t="shared" si="16"/>
        <v>Normal Price</v>
      </c>
      <c r="H332" s="2">
        <v>2009</v>
      </c>
      <c r="I332" s="1" t="s">
        <v>12</v>
      </c>
      <c r="J332" s="5" t="str">
        <f t="shared" si="17"/>
        <v>Excellent</v>
      </c>
    </row>
    <row r="333" spans="1:10" ht="14.4" x14ac:dyDescent="0.3">
      <c r="A333" s="1" t="s">
        <v>122</v>
      </c>
      <c r="B333" s="1" t="str">
        <f t="shared" si="15"/>
        <v>Divine</v>
      </c>
      <c r="C333" s="1" t="s">
        <v>123</v>
      </c>
      <c r="D333" s="2">
        <v>4.5999999999999996</v>
      </c>
      <c r="E333" s="2">
        <v>37</v>
      </c>
      <c r="F333" s="2">
        <v>6</v>
      </c>
      <c r="G333" s="2" t="str">
        <f t="shared" si="16"/>
        <v>Normal Price</v>
      </c>
      <c r="H333" s="2">
        <v>2009</v>
      </c>
      <c r="I333" s="1" t="s">
        <v>9</v>
      </c>
      <c r="J333" s="5" t="str">
        <f t="shared" si="17"/>
        <v>Excellent</v>
      </c>
    </row>
    <row r="334" spans="1:10" ht="14.4" x14ac:dyDescent="0.3">
      <c r="A334" s="1" t="s">
        <v>181</v>
      </c>
      <c r="B334" s="1" t="str">
        <f t="shared" si="15"/>
        <v>Glenn</v>
      </c>
      <c r="C334" s="1" t="s">
        <v>53</v>
      </c>
      <c r="D334" s="2">
        <v>4.5999999999999996</v>
      </c>
      <c r="E334" s="2">
        <v>1365</v>
      </c>
      <c r="F334" s="2">
        <v>11</v>
      </c>
      <c r="G334" s="2" t="str">
        <f t="shared" si="16"/>
        <v>High Price</v>
      </c>
      <c r="H334" s="2">
        <v>2009</v>
      </c>
      <c r="I334" s="1" t="s">
        <v>9</v>
      </c>
      <c r="J334" s="5" t="str">
        <f t="shared" si="17"/>
        <v>Excellent</v>
      </c>
    </row>
    <row r="335" spans="1:10" ht="14.4" x14ac:dyDescent="0.3">
      <c r="A335" s="1" t="s">
        <v>186</v>
      </c>
      <c r="B335" s="1" t="str">
        <f t="shared" si="15"/>
        <v>Going</v>
      </c>
      <c r="C335" s="1" t="s">
        <v>187</v>
      </c>
      <c r="D335" s="2">
        <v>4.5999999999999996</v>
      </c>
      <c r="E335" s="2">
        <v>1636</v>
      </c>
      <c r="F335" s="2">
        <v>6</v>
      </c>
      <c r="G335" s="2" t="str">
        <f t="shared" si="16"/>
        <v>Normal Price</v>
      </c>
      <c r="H335" s="2">
        <v>2009</v>
      </c>
      <c r="I335" s="1" t="s">
        <v>9</v>
      </c>
      <c r="J335" s="5" t="str">
        <f t="shared" si="17"/>
        <v>Excellent</v>
      </c>
    </row>
    <row r="336" spans="1:10" ht="14.4" x14ac:dyDescent="0.3">
      <c r="A336" s="1" t="s">
        <v>235</v>
      </c>
      <c r="B336" s="1" t="str">
        <f t="shared" si="15"/>
        <v>I,</v>
      </c>
      <c r="C336" s="1" t="s">
        <v>236</v>
      </c>
      <c r="D336" s="2">
        <v>4.5999999999999996</v>
      </c>
      <c r="E336" s="2">
        <v>1320</v>
      </c>
      <c r="F336" s="2">
        <v>7</v>
      </c>
      <c r="G336" s="2" t="str">
        <f t="shared" si="16"/>
        <v>Normal Price</v>
      </c>
      <c r="H336" s="2">
        <v>2009</v>
      </c>
      <c r="I336" s="1" t="s">
        <v>12</v>
      </c>
      <c r="J336" s="5" t="str">
        <f t="shared" si="17"/>
        <v>Excellent</v>
      </c>
    </row>
    <row r="337" spans="1:10" ht="14.4" x14ac:dyDescent="0.3">
      <c r="A337" s="1" t="s">
        <v>310</v>
      </c>
      <c r="B337" s="1" t="str">
        <f t="shared" si="15"/>
        <v>New</v>
      </c>
      <c r="C337" s="1" t="s">
        <v>74</v>
      </c>
      <c r="D337" s="2">
        <v>4.5999999999999996</v>
      </c>
      <c r="E337" s="2">
        <v>5680</v>
      </c>
      <c r="F337" s="2">
        <v>10</v>
      </c>
      <c r="G337" s="2" t="str">
        <f t="shared" si="16"/>
        <v>Normal Price</v>
      </c>
      <c r="H337" s="2">
        <v>2009</v>
      </c>
      <c r="I337" s="1" t="s">
        <v>12</v>
      </c>
      <c r="J337" s="5" t="str">
        <f t="shared" si="17"/>
        <v>Excellent</v>
      </c>
    </row>
    <row r="338" spans="1:10" ht="14.4" x14ac:dyDescent="0.3">
      <c r="A338" s="1" t="s">
        <v>328</v>
      </c>
      <c r="B338" s="1" t="str">
        <f t="shared" si="15"/>
        <v>Outliers:</v>
      </c>
      <c r="C338" s="1" t="s">
        <v>102</v>
      </c>
      <c r="D338" s="2">
        <v>4.5999999999999996</v>
      </c>
      <c r="E338" s="2">
        <v>10426</v>
      </c>
      <c r="F338" s="2">
        <v>20</v>
      </c>
      <c r="G338" s="2" t="str">
        <f t="shared" si="16"/>
        <v>High Price</v>
      </c>
      <c r="H338" s="2">
        <v>2009</v>
      </c>
      <c r="I338" s="1" t="s">
        <v>9</v>
      </c>
      <c r="J338" s="5" t="str">
        <f t="shared" si="17"/>
        <v>Excellent</v>
      </c>
    </row>
    <row r="339" spans="1:10" ht="14.4" x14ac:dyDescent="0.3">
      <c r="A339" s="1" t="s">
        <v>388</v>
      </c>
      <c r="B339" s="1" t="str">
        <f t="shared" si="15"/>
        <v>The</v>
      </c>
      <c r="C339" s="1" t="s">
        <v>389</v>
      </c>
      <c r="D339" s="2">
        <v>4.5999999999999996</v>
      </c>
      <c r="E339" s="2">
        <v>9325</v>
      </c>
      <c r="F339" s="2">
        <v>24</v>
      </c>
      <c r="G339" s="2" t="str">
        <f t="shared" si="16"/>
        <v>High Price</v>
      </c>
      <c r="H339" s="2">
        <v>2009</v>
      </c>
      <c r="I339" s="1" t="s">
        <v>9</v>
      </c>
      <c r="J339" s="5" t="str">
        <f t="shared" si="17"/>
        <v>Excellent</v>
      </c>
    </row>
    <row r="340" spans="1:10" ht="14.4" x14ac:dyDescent="0.3">
      <c r="A340" s="1" t="s">
        <v>428</v>
      </c>
      <c r="B340" s="1" t="str">
        <f t="shared" si="15"/>
        <v>The</v>
      </c>
      <c r="C340" s="1" t="s">
        <v>429</v>
      </c>
      <c r="D340" s="2">
        <v>4.5999999999999996</v>
      </c>
      <c r="E340" s="2">
        <v>3207</v>
      </c>
      <c r="F340" s="2">
        <v>6</v>
      </c>
      <c r="G340" s="2" t="str">
        <f t="shared" si="16"/>
        <v>Normal Price</v>
      </c>
      <c r="H340" s="2">
        <v>2009</v>
      </c>
      <c r="I340" s="1" t="s">
        <v>9</v>
      </c>
      <c r="J340" s="5" t="str">
        <f t="shared" si="17"/>
        <v>Excellent</v>
      </c>
    </row>
    <row r="341" spans="1:10" ht="14.4" x14ac:dyDescent="0.3">
      <c r="A341" s="1" t="s">
        <v>430</v>
      </c>
      <c r="B341" s="1" t="str">
        <f t="shared" si="15"/>
        <v>The</v>
      </c>
      <c r="C341" s="1" t="s">
        <v>384</v>
      </c>
      <c r="D341" s="2">
        <v>4.5999999999999996</v>
      </c>
      <c r="E341" s="2">
        <v>803</v>
      </c>
      <c r="F341" s="2">
        <v>9</v>
      </c>
      <c r="G341" s="2" t="str">
        <f t="shared" si="16"/>
        <v>Normal Price</v>
      </c>
      <c r="H341" s="2">
        <v>2009</v>
      </c>
      <c r="I341" s="1" t="s">
        <v>9</v>
      </c>
      <c r="J341" s="5" t="str">
        <f t="shared" si="17"/>
        <v>Excellent</v>
      </c>
    </row>
    <row r="342" spans="1:10" ht="14.4" x14ac:dyDescent="0.3">
      <c r="A342" s="1" t="s">
        <v>514</v>
      </c>
      <c r="B342" s="1" t="str">
        <f t="shared" si="15"/>
        <v>The</v>
      </c>
      <c r="C342" s="1" t="s">
        <v>515</v>
      </c>
      <c r="D342" s="2">
        <v>4.5999999999999996</v>
      </c>
      <c r="E342" s="2">
        <v>19720</v>
      </c>
      <c r="F342" s="2">
        <v>8</v>
      </c>
      <c r="G342" s="2" t="str">
        <f t="shared" si="16"/>
        <v>Normal Price</v>
      </c>
      <c r="H342" s="2">
        <v>2009</v>
      </c>
      <c r="I342" s="1" t="s">
        <v>12</v>
      </c>
      <c r="J342" s="5" t="str">
        <f t="shared" si="17"/>
        <v>Excellent</v>
      </c>
    </row>
    <row r="343" spans="1:10" ht="14.4" x14ac:dyDescent="0.3">
      <c r="A343" s="1" t="s">
        <v>28</v>
      </c>
      <c r="B343" s="1" t="str">
        <f t="shared" si="15"/>
        <v>A</v>
      </c>
      <c r="C343" s="1" t="s">
        <v>29</v>
      </c>
      <c r="D343" s="2">
        <v>4.5999999999999996</v>
      </c>
      <c r="E343" s="2">
        <v>460</v>
      </c>
      <c r="F343" s="2">
        <v>2</v>
      </c>
      <c r="G343" s="2" t="str">
        <f t="shared" si="16"/>
        <v>Normal Price</v>
      </c>
      <c r="H343" s="2">
        <v>2010</v>
      </c>
      <c r="I343" s="1" t="s">
        <v>9</v>
      </c>
      <c r="J343" s="5" t="str">
        <f t="shared" si="17"/>
        <v>Excellent</v>
      </c>
    </row>
    <row r="344" spans="1:10" ht="14.4" x14ac:dyDescent="0.3">
      <c r="A344" s="1" t="s">
        <v>97</v>
      </c>
      <c r="B344" s="1" t="str">
        <f t="shared" si="15"/>
        <v>Cutting</v>
      </c>
      <c r="C344" s="1" t="s">
        <v>98</v>
      </c>
      <c r="D344" s="2">
        <v>4.5999999999999996</v>
      </c>
      <c r="E344" s="2">
        <v>4866</v>
      </c>
      <c r="F344" s="2">
        <v>11</v>
      </c>
      <c r="G344" s="2" t="str">
        <f t="shared" si="16"/>
        <v>High Price</v>
      </c>
      <c r="H344" s="2">
        <v>2010</v>
      </c>
      <c r="I344" s="1" t="s">
        <v>12</v>
      </c>
      <c r="J344" s="5" t="str">
        <f t="shared" si="17"/>
        <v>Excellent</v>
      </c>
    </row>
    <row r="345" spans="1:10" ht="14.4" x14ac:dyDescent="0.3">
      <c r="A345" s="1" t="s">
        <v>109</v>
      </c>
      <c r="B345" s="1" t="str">
        <f t="shared" si="15"/>
        <v>Decision</v>
      </c>
      <c r="C345" s="1" t="s">
        <v>110</v>
      </c>
      <c r="D345" s="2">
        <v>4.5999999999999996</v>
      </c>
      <c r="E345" s="2">
        <v>2137</v>
      </c>
      <c r="F345" s="2">
        <v>17</v>
      </c>
      <c r="G345" s="2" t="str">
        <f t="shared" si="16"/>
        <v>High Price</v>
      </c>
      <c r="H345" s="2">
        <v>2010</v>
      </c>
      <c r="I345" s="1" t="s">
        <v>9</v>
      </c>
      <c r="J345" s="5" t="str">
        <f t="shared" si="17"/>
        <v>Excellent</v>
      </c>
    </row>
    <row r="346" spans="1:10" ht="14.4" x14ac:dyDescent="0.3">
      <c r="A346" s="1" t="s">
        <v>111</v>
      </c>
      <c r="B346" s="1" t="str">
        <f t="shared" si="15"/>
        <v>Delivering</v>
      </c>
      <c r="C346" s="1" t="s">
        <v>112</v>
      </c>
      <c r="D346" s="2">
        <v>4.5999999999999996</v>
      </c>
      <c r="E346" s="2">
        <v>1651</v>
      </c>
      <c r="F346" s="2">
        <v>15</v>
      </c>
      <c r="G346" s="2" t="str">
        <f t="shared" si="16"/>
        <v>High Price</v>
      </c>
      <c r="H346" s="2">
        <v>2010</v>
      </c>
      <c r="I346" s="1" t="s">
        <v>9</v>
      </c>
      <c r="J346" s="5" t="str">
        <f t="shared" si="17"/>
        <v>Excellent</v>
      </c>
    </row>
    <row r="347" spans="1:10" ht="14.4" x14ac:dyDescent="0.3">
      <c r="A347" s="1" t="s">
        <v>328</v>
      </c>
      <c r="B347" s="1" t="str">
        <f t="shared" si="15"/>
        <v>Outliers:</v>
      </c>
      <c r="C347" s="1" t="s">
        <v>102</v>
      </c>
      <c r="D347" s="2">
        <v>4.5999999999999996</v>
      </c>
      <c r="E347" s="2">
        <v>10426</v>
      </c>
      <c r="F347" s="2">
        <v>20</v>
      </c>
      <c r="G347" s="2" t="str">
        <f t="shared" si="16"/>
        <v>High Price</v>
      </c>
      <c r="H347" s="2">
        <v>2010</v>
      </c>
      <c r="I347" s="1" t="s">
        <v>9</v>
      </c>
      <c r="J347" s="5" t="str">
        <f t="shared" si="17"/>
        <v>Excellent</v>
      </c>
    </row>
    <row r="348" spans="1:10" ht="14.4" x14ac:dyDescent="0.3">
      <c r="A348" s="1" t="s">
        <v>353</v>
      </c>
      <c r="B348" s="1" t="str">
        <f t="shared" si="15"/>
        <v>Sarah's</v>
      </c>
      <c r="C348" s="1" t="s">
        <v>354</v>
      </c>
      <c r="D348" s="2">
        <v>4.5999999999999996</v>
      </c>
      <c r="E348" s="2">
        <v>3619</v>
      </c>
      <c r="F348" s="2">
        <v>10</v>
      </c>
      <c r="G348" s="2" t="str">
        <f t="shared" si="16"/>
        <v>Normal Price</v>
      </c>
      <c r="H348" s="2">
        <v>2010</v>
      </c>
      <c r="I348" s="1" t="s">
        <v>12</v>
      </c>
      <c r="J348" s="5" t="str">
        <f t="shared" si="17"/>
        <v>Excellent</v>
      </c>
    </row>
    <row r="349" spans="1:10" ht="14.4" x14ac:dyDescent="0.3">
      <c r="A349" s="1" t="s">
        <v>373</v>
      </c>
      <c r="B349" s="1" t="str">
        <f t="shared" si="15"/>
        <v>Switch:</v>
      </c>
      <c r="C349" s="1" t="s">
        <v>374</v>
      </c>
      <c r="D349" s="2">
        <v>4.5999999999999996</v>
      </c>
      <c r="E349" s="2">
        <v>1907</v>
      </c>
      <c r="F349" s="2">
        <v>13</v>
      </c>
      <c r="G349" s="2" t="str">
        <f t="shared" si="16"/>
        <v>High Price</v>
      </c>
      <c r="H349" s="2">
        <v>2010</v>
      </c>
      <c r="I349" s="1" t="s">
        <v>9</v>
      </c>
      <c r="J349" s="5" t="str">
        <f t="shared" si="17"/>
        <v>Excellent</v>
      </c>
    </row>
    <row r="350" spans="1:10" ht="14.4" x14ac:dyDescent="0.3">
      <c r="A350" s="1" t="s">
        <v>428</v>
      </c>
      <c r="B350" s="1" t="str">
        <f t="shared" si="15"/>
        <v>The</v>
      </c>
      <c r="C350" s="1" t="s">
        <v>429</v>
      </c>
      <c r="D350" s="2">
        <v>4.5999999999999996</v>
      </c>
      <c r="E350" s="2">
        <v>3207</v>
      </c>
      <c r="F350" s="2">
        <v>6</v>
      </c>
      <c r="G350" s="2" t="str">
        <f t="shared" si="16"/>
        <v>Normal Price</v>
      </c>
      <c r="H350" s="2">
        <v>2010</v>
      </c>
      <c r="I350" s="1" t="s">
        <v>9</v>
      </c>
      <c r="J350" s="5" t="str">
        <f t="shared" si="17"/>
        <v>Excellent</v>
      </c>
    </row>
    <row r="351" spans="1:10" ht="14.4" x14ac:dyDescent="0.3">
      <c r="A351" s="1" t="s">
        <v>510</v>
      </c>
      <c r="B351" s="1" t="str">
        <f t="shared" si="15"/>
        <v>The</v>
      </c>
      <c r="C351" s="1" t="s">
        <v>332</v>
      </c>
      <c r="D351" s="2">
        <v>4.5999999999999996</v>
      </c>
      <c r="E351" s="2">
        <v>2186</v>
      </c>
      <c r="F351" s="2">
        <v>12</v>
      </c>
      <c r="G351" s="2" t="str">
        <f t="shared" si="16"/>
        <v>High Price</v>
      </c>
      <c r="H351" s="2">
        <v>2010</v>
      </c>
      <c r="I351" s="1" t="s">
        <v>12</v>
      </c>
      <c r="J351" s="5" t="str">
        <f t="shared" si="17"/>
        <v>Excellent</v>
      </c>
    </row>
    <row r="352" spans="1:10" ht="14.4" x14ac:dyDescent="0.3">
      <c r="A352" s="1" t="s">
        <v>511</v>
      </c>
      <c r="B352" s="1" t="str">
        <f t="shared" si="15"/>
        <v>The</v>
      </c>
      <c r="C352" s="1" t="s">
        <v>512</v>
      </c>
      <c r="D352" s="2">
        <v>4.5999999999999996</v>
      </c>
      <c r="E352" s="2">
        <v>1204</v>
      </c>
      <c r="F352" s="2">
        <v>14</v>
      </c>
      <c r="G352" s="2" t="str">
        <f t="shared" si="16"/>
        <v>High Price</v>
      </c>
      <c r="H352" s="2">
        <v>2010</v>
      </c>
      <c r="I352" s="1" t="s">
        <v>9</v>
      </c>
      <c r="J352" s="5" t="str">
        <f t="shared" si="17"/>
        <v>Excellent</v>
      </c>
    </row>
    <row r="353" spans="1:10" ht="14.4" x14ac:dyDescent="0.3">
      <c r="A353" s="1" t="s">
        <v>516</v>
      </c>
      <c r="B353" s="1" t="str">
        <f t="shared" si="15"/>
        <v>The</v>
      </c>
      <c r="C353" s="1" t="s">
        <v>74</v>
      </c>
      <c r="D353" s="2">
        <v>4.5999999999999996</v>
      </c>
      <c r="E353" s="2">
        <v>2122</v>
      </c>
      <c r="F353" s="2">
        <v>0</v>
      </c>
      <c r="G353" s="2" t="str">
        <f t="shared" si="16"/>
        <v>Normal Price</v>
      </c>
      <c r="H353" s="2">
        <v>2010</v>
      </c>
      <c r="I353" s="1" t="s">
        <v>12</v>
      </c>
      <c r="J353" s="5" t="str">
        <f t="shared" si="17"/>
        <v>Excellent</v>
      </c>
    </row>
    <row r="354" spans="1:10" ht="14.4" x14ac:dyDescent="0.3">
      <c r="A354" s="1" t="s">
        <v>10</v>
      </c>
      <c r="B354" s="1" t="str">
        <f t="shared" si="15"/>
        <v>11/22/63:</v>
      </c>
      <c r="C354" s="1" t="s">
        <v>11</v>
      </c>
      <c r="D354" s="2">
        <v>4.5999999999999996</v>
      </c>
      <c r="E354" s="2">
        <v>2052</v>
      </c>
      <c r="F354" s="2">
        <v>22</v>
      </c>
      <c r="G354" s="2" t="str">
        <f t="shared" si="16"/>
        <v>High Price</v>
      </c>
      <c r="H354" s="2">
        <v>2011</v>
      </c>
      <c r="I354" s="1" t="s">
        <v>12</v>
      </c>
      <c r="J354" s="5" t="str">
        <f t="shared" si="17"/>
        <v>Excellent</v>
      </c>
    </row>
    <row r="355" spans="1:10" ht="14.4" x14ac:dyDescent="0.3">
      <c r="A355" s="1" t="s">
        <v>30</v>
      </c>
      <c r="B355" s="1" t="str">
        <f t="shared" si="15"/>
        <v>A</v>
      </c>
      <c r="C355" s="1" t="s">
        <v>31</v>
      </c>
      <c r="D355" s="2">
        <v>4.5999999999999996</v>
      </c>
      <c r="E355" s="2">
        <v>4149</v>
      </c>
      <c r="F355" s="2">
        <v>32</v>
      </c>
      <c r="G355" s="2" t="str">
        <f t="shared" si="16"/>
        <v>High Price</v>
      </c>
      <c r="H355" s="2">
        <v>2011</v>
      </c>
      <c r="I355" s="1" t="s">
        <v>9</v>
      </c>
      <c r="J355" s="5" t="str">
        <f t="shared" si="17"/>
        <v>Excellent</v>
      </c>
    </row>
    <row r="356" spans="1:10" ht="14.4" x14ac:dyDescent="0.3">
      <c r="A356" s="1" t="s">
        <v>97</v>
      </c>
      <c r="B356" s="1" t="str">
        <f t="shared" si="15"/>
        <v>Cutting</v>
      </c>
      <c r="C356" s="1" t="s">
        <v>98</v>
      </c>
      <c r="D356" s="2">
        <v>4.5999999999999996</v>
      </c>
      <c r="E356" s="2">
        <v>4866</v>
      </c>
      <c r="F356" s="2">
        <v>11</v>
      </c>
      <c r="G356" s="2" t="str">
        <f t="shared" si="16"/>
        <v>High Price</v>
      </c>
      <c r="H356" s="2">
        <v>2011</v>
      </c>
      <c r="I356" s="1" t="s">
        <v>12</v>
      </c>
      <c r="J356" s="5" t="str">
        <f t="shared" si="17"/>
        <v>Excellent</v>
      </c>
    </row>
    <row r="357" spans="1:10" ht="14.4" x14ac:dyDescent="0.3">
      <c r="A357" s="1" t="s">
        <v>170</v>
      </c>
      <c r="B357" s="1" t="str">
        <f t="shared" si="15"/>
        <v>Game</v>
      </c>
      <c r="C357" s="1" t="s">
        <v>171</v>
      </c>
      <c r="D357" s="2">
        <v>4.5999999999999996</v>
      </c>
      <c r="E357" s="2">
        <v>5594</v>
      </c>
      <c r="F357" s="2">
        <v>5</v>
      </c>
      <c r="G357" s="2" t="str">
        <f t="shared" si="16"/>
        <v>Normal Price</v>
      </c>
      <c r="H357" s="2">
        <v>2011</v>
      </c>
      <c r="I357" s="1" t="s">
        <v>12</v>
      </c>
      <c r="J357" s="5" t="str">
        <f t="shared" si="17"/>
        <v>Excellent</v>
      </c>
    </row>
    <row r="358" spans="1:10" ht="14.4" x14ac:dyDescent="0.3">
      <c r="A358" s="1" t="s">
        <v>245</v>
      </c>
      <c r="B358" s="1" t="str">
        <f t="shared" si="15"/>
        <v>Inheritance:</v>
      </c>
      <c r="C358" s="1" t="s">
        <v>246</v>
      </c>
      <c r="D358" s="2">
        <v>4.5999999999999996</v>
      </c>
      <c r="E358" s="2">
        <v>5299</v>
      </c>
      <c r="F358" s="2">
        <v>20</v>
      </c>
      <c r="G358" s="2" t="str">
        <f t="shared" si="16"/>
        <v>High Price</v>
      </c>
      <c r="H358" s="2">
        <v>2011</v>
      </c>
      <c r="I358" s="1" t="s">
        <v>12</v>
      </c>
      <c r="J358" s="5" t="str">
        <f t="shared" si="17"/>
        <v>Excellent</v>
      </c>
    </row>
    <row r="359" spans="1:10" ht="14.4" x14ac:dyDescent="0.3">
      <c r="A359" s="1" t="s">
        <v>322</v>
      </c>
      <c r="B359" s="1" t="str">
        <f t="shared" si="15"/>
        <v>One</v>
      </c>
      <c r="C359" s="1" t="s">
        <v>323</v>
      </c>
      <c r="D359" s="2">
        <v>4.5999999999999996</v>
      </c>
      <c r="E359" s="2">
        <v>3163</v>
      </c>
      <c r="F359" s="2">
        <v>13</v>
      </c>
      <c r="G359" s="2" t="str">
        <f t="shared" si="16"/>
        <v>High Price</v>
      </c>
      <c r="H359" s="2">
        <v>2011</v>
      </c>
      <c r="I359" s="1" t="s">
        <v>9</v>
      </c>
      <c r="J359" s="5" t="str">
        <f t="shared" si="17"/>
        <v>Excellent</v>
      </c>
    </row>
    <row r="360" spans="1:10" ht="14.4" x14ac:dyDescent="0.3">
      <c r="A360" s="1" t="s">
        <v>366</v>
      </c>
      <c r="B360" s="1" t="str">
        <f t="shared" si="15"/>
        <v>Steve</v>
      </c>
      <c r="C360" s="1" t="s">
        <v>274</v>
      </c>
      <c r="D360" s="2">
        <v>4.5999999999999996</v>
      </c>
      <c r="E360" s="2">
        <v>7827</v>
      </c>
      <c r="F360" s="2">
        <v>20</v>
      </c>
      <c r="G360" s="2" t="str">
        <f t="shared" si="16"/>
        <v>High Price</v>
      </c>
      <c r="H360" s="2">
        <v>2011</v>
      </c>
      <c r="I360" s="1" t="s">
        <v>9</v>
      </c>
      <c r="J360" s="5" t="str">
        <f t="shared" si="17"/>
        <v>Excellent</v>
      </c>
    </row>
    <row r="361" spans="1:10" ht="14.4" x14ac:dyDescent="0.3">
      <c r="A361" s="1" t="s">
        <v>388</v>
      </c>
      <c r="B361" s="1" t="str">
        <f t="shared" si="15"/>
        <v>The</v>
      </c>
      <c r="C361" s="1" t="s">
        <v>389</v>
      </c>
      <c r="D361" s="2">
        <v>4.5999999999999996</v>
      </c>
      <c r="E361" s="2">
        <v>9325</v>
      </c>
      <c r="F361" s="2">
        <v>24</v>
      </c>
      <c r="G361" s="2" t="str">
        <f t="shared" si="16"/>
        <v>High Price</v>
      </c>
      <c r="H361" s="2">
        <v>2011</v>
      </c>
      <c r="I361" s="1" t="s">
        <v>9</v>
      </c>
      <c r="J361" s="5" t="str">
        <f t="shared" si="17"/>
        <v>Excellent</v>
      </c>
    </row>
    <row r="362" spans="1:10" ht="14.4" x14ac:dyDescent="0.3">
      <c r="A362" s="1" t="s">
        <v>428</v>
      </c>
      <c r="B362" s="1" t="str">
        <f t="shared" si="15"/>
        <v>The</v>
      </c>
      <c r="C362" s="1" t="s">
        <v>429</v>
      </c>
      <c r="D362" s="2">
        <v>4.5999999999999996</v>
      </c>
      <c r="E362" s="2">
        <v>3207</v>
      </c>
      <c r="F362" s="2">
        <v>6</v>
      </c>
      <c r="G362" s="2" t="str">
        <f t="shared" si="16"/>
        <v>Normal Price</v>
      </c>
      <c r="H362" s="2">
        <v>2011</v>
      </c>
      <c r="I362" s="1" t="s">
        <v>9</v>
      </c>
      <c r="J362" s="5" t="str">
        <f t="shared" si="17"/>
        <v>Excellent</v>
      </c>
    </row>
    <row r="363" spans="1:10" ht="14.4" x14ac:dyDescent="0.3">
      <c r="A363" s="1" t="s">
        <v>546</v>
      </c>
      <c r="B363" s="1" t="str">
        <f t="shared" si="15"/>
        <v>Thinking,</v>
      </c>
      <c r="C363" s="1" t="s">
        <v>547</v>
      </c>
      <c r="D363" s="2">
        <v>4.5999999999999996</v>
      </c>
      <c r="E363" s="2">
        <v>11034</v>
      </c>
      <c r="F363" s="2">
        <v>19</v>
      </c>
      <c r="G363" s="2" t="str">
        <f t="shared" si="16"/>
        <v>High Price</v>
      </c>
      <c r="H363" s="2">
        <v>2011</v>
      </c>
      <c r="I363" s="1" t="s">
        <v>9</v>
      </c>
      <c r="J363" s="5" t="str">
        <f t="shared" si="17"/>
        <v>Excellent</v>
      </c>
    </row>
    <row r="364" spans="1:10" ht="14.4" x14ac:dyDescent="0.3">
      <c r="A364" s="1" t="s">
        <v>170</v>
      </c>
      <c r="B364" s="1" t="str">
        <f t="shared" si="15"/>
        <v>Game</v>
      </c>
      <c r="C364" s="1" t="s">
        <v>171</v>
      </c>
      <c r="D364" s="2">
        <v>4.5999999999999996</v>
      </c>
      <c r="E364" s="2">
        <v>5594</v>
      </c>
      <c r="F364" s="2">
        <v>5</v>
      </c>
      <c r="G364" s="2" t="str">
        <f t="shared" si="16"/>
        <v>Normal Price</v>
      </c>
      <c r="H364" s="2">
        <v>2012</v>
      </c>
      <c r="I364" s="1" t="s">
        <v>12</v>
      </c>
      <c r="J364" s="5" t="str">
        <f t="shared" si="17"/>
        <v>Excellent</v>
      </c>
    </row>
    <row r="365" spans="1:10" ht="14.4" x14ac:dyDescent="0.3">
      <c r="A365" s="1" t="s">
        <v>259</v>
      </c>
      <c r="B365" s="1" t="str">
        <f t="shared" si="15"/>
        <v>Killing</v>
      </c>
      <c r="C365" s="1" t="s">
        <v>258</v>
      </c>
      <c r="D365" s="2">
        <v>4.5999999999999996</v>
      </c>
      <c r="E365" s="2">
        <v>8634</v>
      </c>
      <c r="F365" s="2">
        <v>25</v>
      </c>
      <c r="G365" s="2" t="str">
        <f t="shared" si="16"/>
        <v>High Price</v>
      </c>
      <c r="H365" s="2">
        <v>2012</v>
      </c>
      <c r="I365" s="1" t="s">
        <v>9</v>
      </c>
      <c r="J365" s="5" t="str">
        <f t="shared" si="17"/>
        <v>Excellent</v>
      </c>
    </row>
    <row r="366" spans="1:10" ht="14.4" x14ac:dyDescent="0.3">
      <c r="A366" s="1" t="s">
        <v>313</v>
      </c>
      <c r="B366" s="1" t="str">
        <f t="shared" si="15"/>
        <v>No</v>
      </c>
      <c r="C366" s="1" t="s">
        <v>314</v>
      </c>
      <c r="D366" s="2">
        <v>4.5999999999999996</v>
      </c>
      <c r="E366" s="2">
        <v>8093</v>
      </c>
      <c r="F366" s="2">
        <v>14</v>
      </c>
      <c r="G366" s="2" t="str">
        <f t="shared" si="16"/>
        <v>High Price</v>
      </c>
      <c r="H366" s="2">
        <v>2012</v>
      </c>
      <c r="I366" s="1" t="s">
        <v>9</v>
      </c>
      <c r="J366" s="5" t="str">
        <f t="shared" si="17"/>
        <v>Excellent</v>
      </c>
    </row>
    <row r="367" spans="1:10" ht="14.4" x14ac:dyDescent="0.3">
      <c r="A367" s="1" t="s">
        <v>322</v>
      </c>
      <c r="B367" s="1" t="str">
        <f t="shared" si="15"/>
        <v>One</v>
      </c>
      <c r="C367" s="1" t="s">
        <v>323</v>
      </c>
      <c r="D367" s="2">
        <v>4.5999999999999996</v>
      </c>
      <c r="E367" s="2">
        <v>3163</v>
      </c>
      <c r="F367" s="2">
        <v>13</v>
      </c>
      <c r="G367" s="2" t="str">
        <f t="shared" si="16"/>
        <v>High Price</v>
      </c>
      <c r="H367" s="2">
        <v>2012</v>
      </c>
      <c r="I367" s="1" t="s">
        <v>9</v>
      </c>
      <c r="J367" s="5" t="str">
        <f t="shared" si="17"/>
        <v>Excellent</v>
      </c>
    </row>
    <row r="368" spans="1:10" ht="14.4" x14ac:dyDescent="0.3">
      <c r="A368" s="1" t="s">
        <v>342</v>
      </c>
      <c r="B368" s="1" t="str">
        <f t="shared" si="15"/>
        <v>Quiet:</v>
      </c>
      <c r="C368" s="1" t="s">
        <v>343</v>
      </c>
      <c r="D368" s="2">
        <v>4.5999999999999996</v>
      </c>
      <c r="E368" s="2">
        <v>10009</v>
      </c>
      <c r="F368" s="2">
        <v>20</v>
      </c>
      <c r="G368" s="2" t="str">
        <f t="shared" si="16"/>
        <v>High Price</v>
      </c>
      <c r="H368" s="2">
        <v>2012</v>
      </c>
      <c r="I368" s="1" t="s">
        <v>9</v>
      </c>
      <c r="J368" s="5" t="str">
        <f t="shared" si="17"/>
        <v>Excellent</v>
      </c>
    </row>
    <row r="369" spans="1:10" ht="14.4" x14ac:dyDescent="0.3">
      <c r="A369" s="1" t="s">
        <v>366</v>
      </c>
      <c r="B369" s="1" t="str">
        <f t="shared" si="15"/>
        <v>Steve</v>
      </c>
      <c r="C369" s="1" t="s">
        <v>274</v>
      </c>
      <c r="D369" s="2">
        <v>4.5999999999999996</v>
      </c>
      <c r="E369" s="2">
        <v>7827</v>
      </c>
      <c r="F369" s="2">
        <v>20</v>
      </c>
      <c r="G369" s="2" t="str">
        <f t="shared" si="16"/>
        <v>High Price</v>
      </c>
      <c r="H369" s="2">
        <v>2012</v>
      </c>
      <c r="I369" s="1" t="s">
        <v>9</v>
      </c>
      <c r="J369" s="5" t="str">
        <f t="shared" si="17"/>
        <v>Excellent</v>
      </c>
    </row>
    <row r="370" spans="1:10" ht="14.4" x14ac:dyDescent="0.3">
      <c r="A370" s="1" t="s">
        <v>388</v>
      </c>
      <c r="B370" s="1" t="str">
        <f t="shared" si="15"/>
        <v>The</v>
      </c>
      <c r="C370" s="1" t="s">
        <v>389</v>
      </c>
      <c r="D370" s="2">
        <v>4.5999999999999996</v>
      </c>
      <c r="E370" s="2">
        <v>9325</v>
      </c>
      <c r="F370" s="2">
        <v>24</v>
      </c>
      <c r="G370" s="2" t="str">
        <f t="shared" si="16"/>
        <v>High Price</v>
      </c>
      <c r="H370" s="2">
        <v>2012</v>
      </c>
      <c r="I370" s="1" t="s">
        <v>9</v>
      </c>
      <c r="J370" s="5" t="str">
        <f t="shared" si="17"/>
        <v>Excellent</v>
      </c>
    </row>
    <row r="371" spans="1:10" ht="14.4" x14ac:dyDescent="0.3">
      <c r="A371" s="1" t="s">
        <v>392</v>
      </c>
      <c r="B371" s="1" t="str">
        <f t="shared" si="15"/>
        <v>The</v>
      </c>
      <c r="C371" s="1" t="s">
        <v>393</v>
      </c>
      <c r="D371" s="2">
        <v>4.5999999999999996</v>
      </c>
      <c r="E371" s="2">
        <v>2580</v>
      </c>
      <c r="F371" s="2">
        <v>9</v>
      </c>
      <c r="G371" s="2" t="str">
        <f t="shared" si="16"/>
        <v>Normal Price</v>
      </c>
      <c r="H371" s="2">
        <v>2012</v>
      </c>
      <c r="I371" s="1" t="s">
        <v>9</v>
      </c>
      <c r="J371" s="5" t="str">
        <f t="shared" si="17"/>
        <v>Excellent</v>
      </c>
    </row>
    <row r="372" spans="1:10" ht="14.4" x14ac:dyDescent="0.3">
      <c r="A372" s="1" t="s">
        <v>428</v>
      </c>
      <c r="B372" s="1" t="str">
        <f t="shared" si="15"/>
        <v>The</v>
      </c>
      <c r="C372" s="1" t="s">
        <v>429</v>
      </c>
      <c r="D372" s="2">
        <v>4.5999999999999996</v>
      </c>
      <c r="E372" s="2">
        <v>3207</v>
      </c>
      <c r="F372" s="2">
        <v>6</v>
      </c>
      <c r="G372" s="2" t="str">
        <f t="shared" si="16"/>
        <v>Normal Price</v>
      </c>
      <c r="H372" s="2">
        <v>2012</v>
      </c>
      <c r="I372" s="1" t="s">
        <v>9</v>
      </c>
      <c r="J372" s="5" t="str">
        <f t="shared" si="17"/>
        <v>Excellent</v>
      </c>
    </row>
    <row r="373" spans="1:10" ht="14.4" x14ac:dyDescent="0.3">
      <c r="A373" s="1" t="s">
        <v>452</v>
      </c>
      <c r="B373" s="1" t="str">
        <f t="shared" si="15"/>
        <v>The</v>
      </c>
      <c r="C373" s="1" t="s">
        <v>453</v>
      </c>
      <c r="D373" s="2">
        <v>4.5999999999999996</v>
      </c>
      <c r="E373" s="2">
        <v>11098</v>
      </c>
      <c r="F373" s="2">
        <v>13</v>
      </c>
      <c r="G373" s="2" t="str">
        <f t="shared" si="16"/>
        <v>High Price</v>
      </c>
      <c r="H373" s="2">
        <v>2012</v>
      </c>
      <c r="I373" s="1" t="s">
        <v>12</v>
      </c>
      <c r="J373" s="5" t="str">
        <f t="shared" si="17"/>
        <v>Excellent</v>
      </c>
    </row>
    <row r="374" spans="1:10" ht="14.4" x14ac:dyDescent="0.3">
      <c r="A374" s="1" t="s">
        <v>506</v>
      </c>
      <c r="B374" s="1" t="str">
        <f t="shared" si="15"/>
        <v>The</v>
      </c>
      <c r="C374" s="1" t="s">
        <v>507</v>
      </c>
      <c r="D374" s="2">
        <v>4.5999999999999996</v>
      </c>
      <c r="E374" s="2">
        <v>10795</v>
      </c>
      <c r="F374" s="2">
        <v>21</v>
      </c>
      <c r="G374" s="2" t="str">
        <f t="shared" si="16"/>
        <v>High Price</v>
      </c>
      <c r="H374" s="2">
        <v>2012</v>
      </c>
      <c r="I374" s="1" t="s">
        <v>9</v>
      </c>
      <c r="J374" s="5" t="str">
        <f t="shared" si="17"/>
        <v>Excellent</v>
      </c>
    </row>
    <row r="375" spans="1:10" ht="14.4" x14ac:dyDescent="0.3">
      <c r="A375" s="1" t="s">
        <v>546</v>
      </c>
      <c r="B375" s="1" t="str">
        <f t="shared" si="15"/>
        <v>Thinking,</v>
      </c>
      <c r="C375" s="1" t="s">
        <v>547</v>
      </c>
      <c r="D375" s="2">
        <v>4.5999999999999996</v>
      </c>
      <c r="E375" s="2">
        <v>11034</v>
      </c>
      <c r="F375" s="2">
        <v>19</v>
      </c>
      <c r="G375" s="2" t="str">
        <f t="shared" si="16"/>
        <v>High Price</v>
      </c>
      <c r="H375" s="2">
        <v>2012</v>
      </c>
      <c r="I375" s="1" t="s">
        <v>9</v>
      </c>
      <c r="J375" s="5" t="str">
        <f t="shared" si="17"/>
        <v>Excellent</v>
      </c>
    </row>
    <row r="376" spans="1:10" ht="14.4" x14ac:dyDescent="0.3">
      <c r="A376" s="1" t="s">
        <v>120</v>
      </c>
      <c r="B376" s="1" t="str">
        <f t="shared" si="15"/>
        <v>Divergent</v>
      </c>
      <c r="C376" s="1" t="s">
        <v>47</v>
      </c>
      <c r="D376" s="2">
        <v>4.5999999999999996</v>
      </c>
      <c r="E376" s="2">
        <v>27098</v>
      </c>
      <c r="F376" s="2">
        <v>15</v>
      </c>
      <c r="G376" s="2" t="str">
        <f t="shared" si="16"/>
        <v>High Price</v>
      </c>
      <c r="H376" s="2">
        <v>2013</v>
      </c>
      <c r="I376" s="1" t="s">
        <v>12</v>
      </c>
      <c r="J376" s="5" t="str">
        <f t="shared" si="17"/>
        <v>Excellent</v>
      </c>
    </row>
    <row r="377" spans="1:10" ht="14.4" x14ac:dyDescent="0.3">
      <c r="A377" s="1" t="s">
        <v>170</v>
      </c>
      <c r="B377" s="1" t="str">
        <f t="shared" si="15"/>
        <v>Game</v>
      </c>
      <c r="C377" s="1" t="s">
        <v>171</v>
      </c>
      <c r="D377" s="2">
        <v>4.5999999999999996</v>
      </c>
      <c r="E377" s="2">
        <v>5594</v>
      </c>
      <c r="F377" s="2">
        <v>5</v>
      </c>
      <c r="G377" s="2" t="str">
        <f t="shared" si="16"/>
        <v>Normal Price</v>
      </c>
      <c r="H377" s="2">
        <v>2013</v>
      </c>
      <c r="I377" s="1" t="s">
        <v>12</v>
      </c>
      <c r="J377" s="5" t="str">
        <f t="shared" si="17"/>
        <v>Excellent</v>
      </c>
    </row>
    <row r="378" spans="1:10" ht="14.4" x14ac:dyDescent="0.3">
      <c r="A378" s="1" t="s">
        <v>174</v>
      </c>
      <c r="B378" s="1" t="str">
        <f t="shared" si="15"/>
        <v>George</v>
      </c>
      <c r="C378" s="1" t="s">
        <v>175</v>
      </c>
      <c r="D378" s="2">
        <v>4.5999999999999996</v>
      </c>
      <c r="E378" s="2">
        <v>4799</v>
      </c>
      <c r="F378" s="2">
        <v>16</v>
      </c>
      <c r="G378" s="2" t="str">
        <f t="shared" si="16"/>
        <v>High Price</v>
      </c>
      <c r="H378" s="2">
        <v>2013</v>
      </c>
      <c r="I378" s="1" t="s">
        <v>9</v>
      </c>
      <c r="J378" s="5" t="str">
        <f t="shared" si="17"/>
        <v>Excellent</v>
      </c>
    </row>
    <row r="379" spans="1:10" ht="14.4" x14ac:dyDescent="0.3">
      <c r="A379" s="1" t="s">
        <v>270</v>
      </c>
      <c r="B379" s="1" t="str">
        <f t="shared" si="15"/>
        <v>Laugh-Out-Loud</v>
      </c>
      <c r="C379" s="1" t="s">
        <v>267</v>
      </c>
      <c r="D379" s="2">
        <v>4.5999999999999996</v>
      </c>
      <c r="E379" s="2">
        <v>6990</v>
      </c>
      <c r="F379" s="2">
        <v>4</v>
      </c>
      <c r="G379" s="2" t="str">
        <f t="shared" si="16"/>
        <v>Normal Price</v>
      </c>
      <c r="H379" s="2">
        <v>2013</v>
      </c>
      <c r="I379" s="1" t="s">
        <v>9</v>
      </c>
      <c r="J379" s="5" t="str">
        <f t="shared" si="17"/>
        <v>Excellent</v>
      </c>
    </row>
    <row r="380" spans="1:10" ht="14.4" x14ac:dyDescent="0.3">
      <c r="A380" s="1" t="s">
        <v>342</v>
      </c>
      <c r="B380" s="1" t="str">
        <f t="shared" si="15"/>
        <v>Quiet:</v>
      </c>
      <c r="C380" s="1" t="s">
        <v>343</v>
      </c>
      <c r="D380" s="2">
        <v>4.5999999999999996</v>
      </c>
      <c r="E380" s="2">
        <v>10009</v>
      </c>
      <c r="F380" s="2">
        <v>7</v>
      </c>
      <c r="G380" s="2" t="str">
        <f t="shared" si="16"/>
        <v>Normal Price</v>
      </c>
      <c r="H380" s="2">
        <v>2013</v>
      </c>
      <c r="I380" s="1" t="s">
        <v>9</v>
      </c>
      <c r="J380" s="5" t="str">
        <f t="shared" si="17"/>
        <v>Excellent</v>
      </c>
    </row>
    <row r="381" spans="1:10" ht="14.4" x14ac:dyDescent="0.3">
      <c r="A381" s="1" t="s">
        <v>365</v>
      </c>
      <c r="B381" s="1" t="str">
        <f t="shared" si="15"/>
        <v>Soul</v>
      </c>
      <c r="C381" s="1" t="s">
        <v>123</v>
      </c>
      <c r="D381" s="2">
        <v>4.5999999999999996</v>
      </c>
      <c r="E381" s="2">
        <v>220</v>
      </c>
      <c r="F381" s="2">
        <v>17</v>
      </c>
      <c r="G381" s="2" t="str">
        <f t="shared" si="16"/>
        <v>High Price</v>
      </c>
      <c r="H381" s="2">
        <v>2013</v>
      </c>
      <c r="I381" s="1" t="s">
        <v>9</v>
      </c>
      <c r="J381" s="5" t="str">
        <f t="shared" si="17"/>
        <v>Excellent</v>
      </c>
    </row>
    <row r="382" spans="1:10" ht="14.4" x14ac:dyDescent="0.3">
      <c r="A382" s="1" t="s">
        <v>388</v>
      </c>
      <c r="B382" s="1" t="str">
        <f t="shared" si="15"/>
        <v>The</v>
      </c>
      <c r="C382" s="1" t="s">
        <v>389</v>
      </c>
      <c r="D382" s="2">
        <v>4.5999999999999996</v>
      </c>
      <c r="E382" s="2">
        <v>9325</v>
      </c>
      <c r="F382" s="2">
        <v>24</v>
      </c>
      <c r="G382" s="2" t="str">
        <f t="shared" si="16"/>
        <v>High Price</v>
      </c>
      <c r="H382" s="2">
        <v>2013</v>
      </c>
      <c r="I382" s="1" t="s">
        <v>9</v>
      </c>
      <c r="J382" s="5" t="str">
        <f t="shared" si="17"/>
        <v>Excellent</v>
      </c>
    </row>
    <row r="383" spans="1:10" ht="14.4" x14ac:dyDescent="0.3">
      <c r="A383" s="1" t="s">
        <v>405</v>
      </c>
      <c r="B383" s="1" t="str">
        <f t="shared" si="15"/>
        <v>The</v>
      </c>
      <c r="C383" s="1" t="s">
        <v>406</v>
      </c>
      <c r="D383" s="2">
        <v>4.5999999999999996</v>
      </c>
      <c r="E383" s="2">
        <v>23148</v>
      </c>
      <c r="F383" s="2">
        <v>6</v>
      </c>
      <c r="G383" s="2" t="str">
        <f t="shared" si="16"/>
        <v>Normal Price</v>
      </c>
      <c r="H383" s="2">
        <v>2013</v>
      </c>
      <c r="I383" s="1" t="s">
        <v>12</v>
      </c>
      <c r="J383" s="5" t="str">
        <f t="shared" si="17"/>
        <v>Excellent</v>
      </c>
    </row>
    <row r="384" spans="1:10" ht="14.4" x14ac:dyDescent="0.3">
      <c r="A384" s="1" t="s">
        <v>428</v>
      </c>
      <c r="B384" s="1" t="str">
        <f t="shared" si="15"/>
        <v>The</v>
      </c>
      <c r="C384" s="1" t="s">
        <v>429</v>
      </c>
      <c r="D384" s="2">
        <v>4.5999999999999996</v>
      </c>
      <c r="E384" s="2">
        <v>3207</v>
      </c>
      <c r="F384" s="2">
        <v>6</v>
      </c>
      <c r="G384" s="2" t="str">
        <f t="shared" si="16"/>
        <v>Normal Price</v>
      </c>
      <c r="H384" s="2">
        <v>2013</v>
      </c>
      <c r="I384" s="1" t="s">
        <v>9</v>
      </c>
      <c r="J384" s="5" t="str">
        <f t="shared" si="17"/>
        <v>Excellent</v>
      </c>
    </row>
    <row r="385" spans="1:10" ht="14.4" x14ac:dyDescent="0.3">
      <c r="A385" s="1" t="s">
        <v>44</v>
      </c>
      <c r="B385" s="1" t="str">
        <f t="shared" si="15"/>
        <v>All</v>
      </c>
      <c r="C385" s="1" t="s">
        <v>45</v>
      </c>
      <c r="D385" s="2">
        <v>4.5999999999999996</v>
      </c>
      <c r="E385" s="2">
        <v>36348</v>
      </c>
      <c r="F385" s="2">
        <v>14</v>
      </c>
      <c r="G385" s="2" t="str">
        <f t="shared" si="16"/>
        <v>High Price</v>
      </c>
      <c r="H385" s="2">
        <v>2014</v>
      </c>
      <c r="I385" s="1" t="s">
        <v>12</v>
      </c>
      <c r="J385" s="5" t="str">
        <f t="shared" si="17"/>
        <v>Excellent</v>
      </c>
    </row>
    <row r="386" spans="1:10" ht="14.4" x14ac:dyDescent="0.3">
      <c r="A386" s="1" t="s">
        <v>120</v>
      </c>
      <c r="B386" s="1" t="str">
        <f t="shared" ref="B386:B449" si="18">LEFT(A386,FIND(" ",A386&amp;" ")-1)</f>
        <v>Divergent</v>
      </c>
      <c r="C386" s="1" t="s">
        <v>47</v>
      </c>
      <c r="D386" s="2">
        <v>4.5999999999999996</v>
      </c>
      <c r="E386" s="2">
        <v>27098</v>
      </c>
      <c r="F386" s="2">
        <v>15</v>
      </c>
      <c r="G386" s="2" t="str">
        <f t="shared" ref="G386:G449" si="19">IF(F386&gt;10,"High Price","Normal Price")</f>
        <v>High Price</v>
      </c>
      <c r="H386" s="2">
        <v>2014</v>
      </c>
      <c r="I386" s="1" t="s">
        <v>12</v>
      </c>
      <c r="J386" s="5" t="str">
        <f t="shared" ref="J386:J449" si="20">IF(D386&gt;=4.5,"Excellent",IF(D386&gt;=4,"Good","Average"))</f>
        <v>Excellent</v>
      </c>
    </row>
    <row r="387" spans="1:10" ht="14.4" x14ac:dyDescent="0.3">
      <c r="A387" s="1" t="s">
        <v>198</v>
      </c>
      <c r="B387" s="1" t="str">
        <f t="shared" si="18"/>
        <v>Grain</v>
      </c>
      <c r="C387" s="1" t="s">
        <v>199</v>
      </c>
      <c r="D387" s="2">
        <v>4.5999999999999996</v>
      </c>
      <c r="E387" s="2">
        <v>5972</v>
      </c>
      <c r="F387" s="2">
        <v>10</v>
      </c>
      <c r="G387" s="2" t="str">
        <f t="shared" si="19"/>
        <v>Normal Price</v>
      </c>
      <c r="H387" s="2">
        <v>2014</v>
      </c>
      <c r="I387" s="1" t="s">
        <v>9</v>
      </c>
      <c r="J387" s="5" t="str">
        <f t="shared" si="20"/>
        <v>Excellent</v>
      </c>
    </row>
    <row r="388" spans="1:10" ht="14.4" x14ac:dyDescent="0.3">
      <c r="A388" s="1" t="s">
        <v>253</v>
      </c>
      <c r="B388" s="1" t="str">
        <f t="shared" si="18"/>
        <v>JOURNEY</v>
      </c>
      <c r="C388" s="1" t="s">
        <v>167</v>
      </c>
      <c r="D388" s="2">
        <v>4.5999999999999996</v>
      </c>
      <c r="E388" s="2">
        <v>978</v>
      </c>
      <c r="F388" s="2">
        <v>0</v>
      </c>
      <c r="G388" s="2" t="str">
        <f t="shared" si="19"/>
        <v>Normal Price</v>
      </c>
      <c r="H388" s="2">
        <v>2014</v>
      </c>
      <c r="I388" s="1" t="s">
        <v>12</v>
      </c>
      <c r="J388" s="5" t="str">
        <f t="shared" si="20"/>
        <v>Excellent</v>
      </c>
    </row>
    <row r="389" spans="1:10" ht="14.4" x14ac:dyDescent="0.3">
      <c r="A389" s="1" t="s">
        <v>261</v>
      </c>
      <c r="B389" s="1" t="str">
        <f t="shared" si="18"/>
        <v>Killing</v>
      </c>
      <c r="C389" s="1" t="s">
        <v>258</v>
      </c>
      <c r="D389" s="2">
        <v>4.5999999999999996</v>
      </c>
      <c r="E389" s="2">
        <v>10927</v>
      </c>
      <c r="F389" s="2">
        <v>6</v>
      </c>
      <c r="G389" s="2" t="str">
        <f t="shared" si="19"/>
        <v>Normal Price</v>
      </c>
      <c r="H389" s="2">
        <v>2014</v>
      </c>
      <c r="I389" s="1" t="s">
        <v>9</v>
      </c>
      <c r="J389" s="5" t="str">
        <f t="shared" si="20"/>
        <v>Excellent</v>
      </c>
    </row>
    <row r="390" spans="1:10" ht="14.4" x14ac:dyDescent="0.3">
      <c r="A390" s="1" t="s">
        <v>270</v>
      </c>
      <c r="B390" s="1" t="str">
        <f t="shared" si="18"/>
        <v>Laugh-Out-Loud</v>
      </c>
      <c r="C390" s="1" t="s">
        <v>267</v>
      </c>
      <c r="D390" s="2">
        <v>4.5999999999999996</v>
      </c>
      <c r="E390" s="2">
        <v>6990</v>
      </c>
      <c r="F390" s="2">
        <v>4</v>
      </c>
      <c r="G390" s="2" t="str">
        <f t="shared" si="19"/>
        <v>Normal Price</v>
      </c>
      <c r="H390" s="2">
        <v>2014</v>
      </c>
      <c r="I390" s="1" t="s">
        <v>9</v>
      </c>
      <c r="J390" s="5" t="str">
        <f t="shared" si="20"/>
        <v>Excellent</v>
      </c>
    </row>
    <row r="391" spans="1:10" ht="14.4" x14ac:dyDescent="0.3">
      <c r="A391" s="1" t="s">
        <v>303</v>
      </c>
      <c r="B391" s="1" t="str">
        <f t="shared" si="18"/>
        <v>Mindset:</v>
      </c>
      <c r="C391" s="1" t="s">
        <v>304</v>
      </c>
      <c r="D391" s="2">
        <v>4.5999999999999996</v>
      </c>
      <c r="E391" s="2">
        <v>5542</v>
      </c>
      <c r="F391" s="2">
        <v>10</v>
      </c>
      <c r="G391" s="2" t="str">
        <f t="shared" si="19"/>
        <v>Normal Price</v>
      </c>
      <c r="H391" s="2">
        <v>2014</v>
      </c>
      <c r="I391" s="1" t="s">
        <v>9</v>
      </c>
      <c r="J391" s="5" t="str">
        <f t="shared" si="20"/>
        <v>Excellent</v>
      </c>
    </row>
    <row r="392" spans="1:10" ht="14.4" x14ac:dyDescent="0.3">
      <c r="A392" s="1" t="s">
        <v>326</v>
      </c>
      <c r="B392" s="1" t="str">
        <f t="shared" si="18"/>
        <v>Orphan</v>
      </c>
      <c r="C392" s="1" t="s">
        <v>327</v>
      </c>
      <c r="D392" s="2">
        <v>4.5999999999999996</v>
      </c>
      <c r="E392" s="2">
        <v>21930</v>
      </c>
      <c r="F392" s="2">
        <v>11</v>
      </c>
      <c r="G392" s="2" t="str">
        <f t="shared" si="19"/>
        <v>High Price</v>
      </c>
      <c r="H392" s="2">
        <v>2014</v>
      </c>
      <c r="I392" s="1" t="s">
        <v>12</v>
      </c>
      <c r="J392" s="5" t="str">
        <f t="shared" si="20"/>
        <v>Excellent</v>
      </c>
    </row>
    <row r="393" spans="1:10" ht="14.4" x14ac:dyDescent="0.3">
      <c r="A393" s="1" t="s">
        <v>405</v>
      </c>
      <c r="B393" s="1" t="str">
        <f t="shared" si="18"/>
        <v>The</v>
      </c>
      <c r="C393" s="1" t="s">
        <v>406</v>
      </c>
      <c r="D393" s="2">
        <v>4.5999999999999996</v>
      </c>
      <c r="E393" s="2">
        <v>23148</v>
      </c>
      <c r="F393" s="2">
        <v>6</v>
      </c>
      <c r="G393" s="2" t="str">
        <f t="shared" si="19"/>
        <v>Normal Price</v>
      </c>
      <c r="H393" s="2">
        <v>2014</v>
      </c>
      <c r="I393" s="1" t="s">
        <v>12</v>
      </c>
      <c r="J393" s="5" t="str">
        <f t="shared" si="20"/>
        <v>Excellent</v>
      </c>
    </row>
    <row r="394" spans="1:10" ht="14.4" x14ac:dyDescent="0.3">
      <c r="A394" s="1" t="s">
        <v>554</v>
      </c>
      <c r="B394" s="1" t="str">
        <f t="shared" si="18"/>
        <v>Thug</v>
      </c>
      <c r="C394" s="1" t="s">
        <v>555</v>
      </c>
      <c r="D394" s="2">
        <v>4.5999999999999996</v>
      </c>
      <c r="E394" s="2">
        <v>11128</v>
      </c>
      <c r="F394" s="2">
        <v>23</v>
      </c>
      <c r="G394" s="2" t="str">
        <f t="shared" si="19"/>
        <v>High Price</v>
      </c>
      <c r="H394" s="2">
        <v>2014</v>
      </c>
      <c r="I394" s="1" t="s">
        <v>9</v>
      </c>
      <c r="J394" s="5" t="str">
        <f t="shared" si="20"/>
        <v>Excellent</v>
      </c>
    </row>
    <row r="395" spans="1:10" ht="14.4" x14ac:dyDescent="0.3">
      <c r="A395" s="1" t="s">
        <v>37</v>
      </c>
      <c r="B395" s="1" t="str">
        <f t="shared" si="18"/>
        <v>Adult</v>
      </c>
      <c r="C395" s="1" t="s">
        <v>38</v>
      </c>
      <c r="D395" s="2">
        <v>4.5999999999999996</v>
      </c>
      <c r="E395" s="2">
        <v>2925</v>
      </c>
      <c r="F395" s="2">
        <v>6</v>
      </c>
      <c r="G395" s="2" t="str">
        <f t="shared" si="19"/>
        <v>Normal Price</v>
      </c>
      <c r="H395" s="2">
        <v>2015</v>
      </c>
      <c r="I395" s="1" t="s">
        <v>9</v>
      </c>
      <c r="J395" s="5" t="str">
        <f t="shared" si="20"/>
        <v>Excellent</v>
      </c>
    </row>
    <row r="396" spans="1:10" ht="14.4" x14ac:dyDescent="0.3">
      <c r="A396" s="1" t="s">
        <v>44</v>
      </c>
      <c r="B396" s="1" t="str">
        <f t="shared" si="18"/>
        <v>All</v>
      </c>
      <c r="C396" s="1" t="s">
        <v>45</v>
      </c>
      <c r="D396" s="2">
        <v>4.5999999999999996</v>
      </c>
      <c r="E396" s="2">
        <v>36348</v>
      </c>
      <c r="F396" s="2">
        <v>14</v>
      </c>
      <c r="G396" s="2" t="str">
        <f t="shared" si="19"/>
        <v>High Price</v>
      </c>
      <c r="H396" s="2">
        <v>2015</v>
      </c>
      <c r="I396" s="1" t="s">
        <v>12</v>
      </c>
      <c r="J396" s="5" t="str">
        <f t="shared" si="20"/>
        <v>Excellent</v>
      </c>
    </row>
    <row r="397" spans="1:10" ht="14.4" x14ac:dyDescent="0.3">
      <c r="A397" s="1" t="s">
        <v>48</v>
      </c>
      <c r="B397" s="1" t="str">
        <f t="shared" si="18"/>
        <v>American</v>
      </c>
      <c r="C397" s="1" t="s">
        <v>49</v>
      </c>
      <c r="D397" s="2">
        <v>4.5999999999999996</v>
      </c>
      <c r="E397" s="2">
        <v>15921</v>
      </c>
      <c r="F397" s="2">
        <v>9</v>
      </c>
      <c r="G397" s="2" t="str">
        <f t="shared" si="19"/>
        <v>Normal Price</v>
      </c>
      <c r="H397" s="2">
        <v>2015</v>
      </c>
      <c r="I397" s="1" t="s">
        <v>9</v>
      </c>
      <c r="J397" s="5" t="str">
        <f t="shared" si="20"/>
        <v>Excellent</v>
      </c>
    </row>
    <row r="398" spans="1:10" ht="14.4" x14ac:dyDescent="0.3">
      <c r="A398" s="1" t="s">
        <v>58</v>
      </c>
      <c r="B398" s="1" t="str">
        <f t="shared" si="18"/>
        <v>Baby</v>
      </c>
      <c r="C398" s="1" t="s">
        <v>59</v>
      </c>
      <c r="D398" s="2">
        <v>4.5999999999999996</v>
      </c>
      <c r="E398" s="2">
        <v>5360</v>
      </c>
      <c r="F398" s="2">
        <v>5</v>
      </c>
      <c r="G398" s="2" t="str">
        <f t="shared" si="19"/>
        <v>Normal Price</v>
      </c>
      <c r="H398" s="2">
        <v>2015</v>
      </c>
      <c r="I398" s="1" t="s">
        <v>9</v>
      </c>
      <c r="J398" s="5" t="str">
        <f t="shared" si="20"/>
        <v>Excellent</v>
      </c>
    </row>
    <row r="399" spans="1:10" ht="14.4" x14ac:dyDescent="0.3">
      <c r="A399" s="1" t="s">
        <v>60</v>
      </c>
      <c r="B399" s="1" t="str">
        <f t="shared" si="18"/>
        <v>Balance</v>
      </c>
      <c r="C399" s="1" t="s">
        <v>61</v>
      </c>
      <c r="D399" s="2">
        <v>4.5999999999999996</v>
      </c>
      <c r="E399" s="2">
        <v>1909</v>
      </c>
      <c r="F399" s="2">
        <v>11</v>
      </c>
      <c r="G399" s="2" t="str">
        <f t="shared" si="19"/>
        <v>High Price</v>
      </c>
      <c r="H399" s="2">
        <v>2015</v>
      </c>
      <c r="I399" s="1" t="s">
        <v>9</v>
      </c>
      <c r="J399" s="5" t="str">
        <f t="shared" si="20"/>
        <v>Excellent</v>
      </c>
    </row>
    <row r="400" spans="1:10" ht="14.4" x14ac:dyDescent="0.3">
      <c r="A400" s="1" t="s">
        <v>134</v>
      </c>
      <c r="B400" s="1" t="str">
        <f t="shared" si="18"/>
        <v>Dover</v>
      </c>
      <c r="C400" s="1" t="s">
        <v>135</v>
      </c>
      <c r="D400" s="2">
        <v>4.5999999999999996</v>
      </c>
      <c r="E400" s="2">
        <v>2134</v>
      </c>
      <c r="F400" s="2">
        <v>5</v>
      </c>
      <c r="G400" s="2" t="str">
        <f t="shared" si="19"/>
        <v>Normal Price</v>
      </c>
      <c r="H400" s="2">
        <v>2015</v>
      </c>
      <c r="I400" s="1" t="s">
        <v>9</v>
      </c>
      <c r="J400" s="5" t="str">
        <f t="shared" si="20"/>
        <v>Excellent</v>
      </c>
    </row>
    <row r="401" spans="1:10" ht="14.4" x14ac:dyDescent="0.3">
      <c r="A401" s="1" t="s">
        <v>262</v>
      </c>
      <c r="B401" s="1" t="str">
        <f t="shared" si="18"/>
        <v>Killing</v>
      </c>
      <c r="C401" s="1" t="s">
        <v>258</v>
      </c>
      <c r="D401" s="2">
        <v>4.5999999999999996</v>
      </c>
      <c r="E401" s="2">
        <v>5235</v>
      </c>
      <c r="F401" s="2">
        <v>5</v>
      </c>
      <c r="G401" s="2" t="str">
        <f t="shared" si="19"/>
        <v>Normal Price</v>
      </c>
      <c r="H401" s="2">
        <v>2015</v>
      </c>
      <c r="I401" s="1" t="s">
        <v>9</v>
      </c>
      <c r="J401" s="5" t="str">
        <f t="shared" si="20"/>
        <v>Excellent</v>
      </c>
    </row>
    <row r="402" spans="1:10" ht="14.4" x14ac:dyDescent="0.3">
      <c r="A402" s="1" t="s">
        <v>270</v>
      </c>
      <c r="B402" s="1" t="str">
        <f t="shared" si="18"/>
        <v>Laugh-Out-Loud</v>
      </c>
      <c r="C402" s="1" t="s">
        <v>267</v>
      </c>
      <c r="D402" s="2">
        <v>4.5999999999999996</v>
      </c>
      <c r="E402" s="2">
        <v>6990</v>
      </c>
      <c r="F402" s="2">
        <v>4</v>
      </c>
      <c r="G402" s="2" t="str">
        <f t="shared" si="19"/>
        <v>Normal Price</v>
      </c>
      <c r="H402" s="2">
        <v>2015</v>
      </c>
      <c r="I402" s="1" t="s">
        <v>9</v>
      </c>
      <c r="J402" s="5" t="str">
        <f t="shared" si="20"/>
        <v>Excellent</v>
      </c>
    </row>
    <row r="403" spans="1:10" ht="14.4" x14ac:dyDescent="0.3">
      <c r="A403" s="1" t="s">
        <v>303</v>
      </c>
      <c r="B403" s="1" t="str">
        <f t="shared" si="18"/>
        <v>Mindset:</v>
      </c>
      <c r="C403" s="1" t="s">
        <v>304</v>
      </c>
      <c r="D403" s="2">
        <v>4.5999999999999996</v>
      </c>
      <c r="E403" s="2">
        <v>5542</v>
      </c>
      <c r="F403" s="2">
        <v>10</v>
      </c>
      <c r="G403" s="2" t="str">
        <f t="shared" si="19"/>
        <v>Normal Price</v>
      </c>
      <c r="H403" s="2">
        <v>2015</v>
      </c>
      <c r="I403" s="1" t="s">
        <v>9</v>
      </c>
      <c r="J403" s="5" t="str">
        <f t="shared" si="20"/>
        <v>Excellent</v>
      </c>
    </row>
    <row r="404" spans="1:10" ht="14.4" x14ac:dyDescent="0.3">
      <c r="A404" s="1" t="s">
        <v>536</v>
      </c>
      <c r="B404" s="1" t="str">
        <f t="shared" si="18"/>
        <v>The</v>
      </c>
      <c r="C404" s="1" t="s">
        <v>537</v>
      </c>
      <c r="D404" s="2">
        <v>4.5999999999999996</v>
      </c>
      <c r="E404" s="2">
        <v>7508</v>
      </c>
      <c r="F404" s="2">
        <v>16</v>
      </c>
      <c r="G404" s="2" t="str">
        <f t="shared" si="19"/>
        <v>High Price</v>
      </c>
      <c r="H404" s="2">
        <v>2015</v>
      </c>
      <c r="I404" s="1" t="s">
        <v>9</v>
      </c>
      <c r="J404" s="5" t="str">
        <f t="shared" si="20"/>
        <v>Excellent</v>
      </c>
    </row>
    <row r="405" spans="1:10" ht="14.4" x14ac:dyDescent="0.3">
      <c r="A405" s="1" t="s">
        <v>554</v>
      </c>
      <c r="B405" s="1" t="str">
        <f t="shared" si="18"/>
        <v>Thug</v>
      </c>
      <c r="C405" s="1" t="s">
        <v>555</v>
      </c>
      <c r="D405" s="2">
        <v>4.5999999999999996</v>
      </c>
      <c r="E405" s="2">
        <v>11128</v>
      </c>
      <c r="F405" s="2">
        <v>23</v>
      </c>
      <c r="G405" s="2" t="str">
        <f t="shared" si="19"/>
        <v>High Price</v>
      </c>
      <c r="H405" s="2">
        <v>2015</v>
      </c>
      <c r="I405" s="1" t="s">
        <v>9</v>
      </c>
      <c r="J405" s="5" t="str">
        <f t="shared" si="20"/>
        <v>Excellent</v>
      </c>
    </row>
    <row r="406" spans="1:10" ht="14.4" x14ac:dyDescent="0.3">
      <c r="A406" s="1" t="s">
        <v>26</v>
      </c>
      <c r="B406" s="1" t="str">
        <f t="shared" si="18"/>
        <v>A</v>
      </c>
      <c r="C406" s="1" t="s">
        <v>27</v>
      </c>
      <c r="D406" s="2">
        <v>4.5999999999999996</v>
      </c>
      <c r="E406" s="2">
        <v>23848</v>
      </c>
      <c r="F406" s="2">
        <v>8</v>
      </c>
      <c r="G406" s="2" t="str">
        <f t="shared" si="19"/>
        <v>Normal Price</v>
      </c>
      <c r="H406" s="2">
        <v>2016</v>
      </c>
      <c r="I406" s="1" t="s">
        <v>12</v>
      </c>
      <c r="J406" s="5" t="str">
        <f t="shared" si="20"/>
        <v>Excellent</v>
      </c>
    </row>
    <row r="407" spans="1:10" ht="14.4" x14ac:dyDescent="0.3">
      <c r="A407" s="1" t="s">
        <v>80</v>
      </c>
      <c r="B407" s="1" t="str">
        <f t="shared" si="18"/>
        <v>Calm</v>
      </c>
      <c r="C407" s="1" t="s">
        <v>81</v>
      </c>
      <c r="D407" s="2">
        <v>4.5999999999999996</v>
      </c>
      <c r="E407" s="2">
        <v>10369</v>
      </c>
      <c r="F407" s="2">
        <v>4</v>
      </c>
      <c r="G407" s="2" t="str">
        <f t="shared" si="19"/>
        <v>Normal Price</v>
      </c>
      <c r="H407" s="2">
        <v>2016</v>
      </c>
      <c r="I407" s="1" t="s">
        <v>9</v>
      </c>
      <c r="J407" s="5" t="str">
        <f t="shared" si="20"/>
        <v>Excellent</v>
      </c>
    </row>
    <row r="408" spans="1:10" ht="14.4" x14ac:dyDescent="0.3">
      <c r="A408" s="1" t="s">
        <v>149</v>
      </c>
      <c r="B408" s="1" t="str">
        <f t="shared" si="18"/>
        <v>Fahrenheit</v>
      </c>
      <c r="C408" s="1" t="s">
        <v>150</v>
      </c>
      <c r="D408" s="2">
        <v>4.5999999999999996</v>
      </c>
      <c r="E408" s="2">
        <v>10721</v>
      </c>
      <c r="F408" s="2">
        <v>8</v>
      </c>
      <c r="G408" s="2" t="str">
        <f t="shared" si="19"/>
        <v>Normal Price</v>
      </c>
      <c r="H408" s="2">
        <v>2016</v>
      </c>
      <c r="I408" s="1" t="s">
        <v>12</v>
      </c>
      <c r="J408" s="5" t="str">
        <f t="shared" si="20"/>
        <v>Excellent</v>
      </c>
    </row>
    <row r="409" spans="1:10" ht="14.4" x14ac:dyDescent="0.3">
      <c r="A409" s="1" t="s">
        <v>270</v>
      </c>
      <c r="B409" s="1" t="str">
        <f t="shared" si="18"/>
        <v>Laugh-Out-Loud</v>
      </c>
      <c r="C409" s="1" t="s">
        <v>267</v>
      </c>
      <c r="D409" s="2">
        <v>4.5999999999999996</v>
      </c>
      <c r="E409" s="2">
        <v>6990</v>
      </c>
      <c r="F409" s="2">
        <v>4</v>
      </c>
      <c r="G409" s="2" t="str">
        <f t="shared" si="19"/>
        <v>Normal Price</v>
      </c>
      <c r="H409" s="2">
        <v>2016</v>
      </c>
      <c r="I409" s="1" t="s">
        <v>9</v>
      </c>
      <c r="J409" s="5" t="str">
        <f t="shared" si="20"/>
        <v>Excellent</v>
      </c>
    </row>
    <row r="410" spans="1:10" ht="14.4" x14ac:dyDescent="0.3">
      <c r="A410" s="1" t="s">
        <v>303</v>
      </c>
      <c r="B410" s="1" t="str">
        <f t="shared" si="18"/>
        <v>Mindset:</v>
      </c>
      <c r="C410" s="1" t="s">
        <v>304</v>
      </c>
      <c r="D410" s="2">
        <v>4.5999999999999996</v>
      </c>
      <c r="E410" s="2">
        <v>5542</v>
      </c>
      <c r="F410" s="2">
        <v>10</v>
      </c>
      <c r="G410" s="2" t="str">
        <f t="shared" si="19"/>
        <v>Normal Price</v>
      </c>
      <c r="H410" s="2">
        <v>2016</v>
      </c>
      <c r="I410" s="1" t="s">
        <v>9</v>
      </c>
      <c r="J410" s="5" t="str">
        <f t="shared" si="20"/>
        <v>Excellent</v>
      </c>
    </row>
    <row r="411" spans="1:10" ht="14.4" x14ac:dyDescent="0.3">
      <c r="A411" s="1" t="s">
        <v>536</v>
      </c>
      <c r="B411" s="1" t="str">
        <f t="shared" si="18"/>
        <v>The</v>
      </c>
      <c r="C411" s="1" t="s">
        <v>537</v>
      </c>
      <c r="D411" s="2">
        <v>4.5999999999999996</v>
      </c>
      <c r="E411" s="2">
        <v>7508</v>
      </c>
      <c r="F411" s="2">
        <v>16</v>
      </c>
      <c r="G411" s="2" t="str">
        <f t="shared" si="19"/>
        <v>High Price</v>
      </c>
      <c r="H411" s="2">
        <v>2016</v>
      </c>
      <c r="I411" s="1" t="s">
        <v>9</v>
      </c>
      <c r="J411" s="5" t="str">
        <f t="shared" si="20"/>
        <v>Excellent</v>
      </c>
    </row>
    <row r="412" spans="1:10" ht="14.4" x14ac:dyDescent="0.3">
      <c r="A412" s="1" t="s">
        <v>554</v>
      </c>
      <c r="B412" s="1" t="str">
        <f t="shared" si="18"/>
        <v>Thug</v>
      </c>
      <c r="C412" s="1" t="s">
        <v>555</v>
      </c>
      <c r="D412" s="2">
        <v>4.5999999999999996</v>
      </c>
      <c r="E412" s="2">
        <v>11128</v>
      </c>
      <c r="F412" s="2">
        <v>23</v>
      </c>
      <c r="G412" s="2" t="str">
        <f t="shared" si="19"/>
        <v>High Price</v>
      </c>
      <c r="H412" s="2">
        <v>2016</v>
      </c>
      <c r="I412" s="1" t="s">
        <v>9</v>
      </c>
      <c r="J412" s="5" t="str">
        <f t="shared" si="20"/>
        <v>Excellent</v>
      </c>
    </row>
    <row r="413" spans="1:10" ht="14.4" x14ac:dyDescent="0.3">
      <c r="A413" s="1" t="s">
        <v>26</v>
      </c>
      <c r="B413" s="1" t="str">
        <f t="shared" si="18"/>
        <v>A</v>
      </c>
      <c r="C413" s="1" t="s">
        <v>27</v>
      </c>
      <c r="D413" s="2">
        <v>4.5999999999999996</v>
      </c>
      <c r="E413" s="2">
        <v>23848</v>
      </c>
      <c r="F413" s="2">
        <v>8</v>
      </c>
      <c r="G413" s="2" t="str">
        <f t="shared" si="19"/>
        <v>Normal Price</v>
      </c>
      <c r="H413" s="2">
        <v>2017</v>
      </c>
      <c r="I413" s="1" t="s">
        <v>12</v>
      </c>
      <c r="J413" s="5" t="str">
        <f t="shared" si="20"/>
        <v>Excellent</v>
      </c>
    </row>
    <row r="414" spans="1:10" ht="14.4" x14ac:dyDescent="0.3">
      <c r="A414" s="1" t="s">
        <v>255</v>
      </c>
      <c r="B414" s="1" t="str">
        <f t="shared" si="18"/>
        <v>Killers</v>
      </c>
      <c r="C414" s="1" t="s">
        <v>256</v>
      </c>
      <c r="D414" s="2">
        <v>4.5999999999999996</v>
      </c>
      <c r="E414" s="2">
        <v>8393</v>
      </c>
      <c r="F414" s="2">
        <v>17</v>
      </c>
      <c r="G414" s="2" t="str">
        <f t="shared" si="19"/>
        <v>High Price</v>
      </c>
      <c r="H414" s="2">
        <v>2017</v>
      </c>
      <c r="I414" s="1" t="s">
        <v>9</v>
      </c>
      <c r="J414" s="5" t="str">
        <f t="shared" si="20"/>
        <v>Excellent</v>
      </c>
    </row>
    <row r="415" spans="1:10" ht="14.4" x14ac:dyDescent="0.3">
      <c r="A415" s="1" t="s">
        <v>270</v>
      </c>
      <c r="B415" s="1" t="str">
        <f t="shared" si="18"/>
        <v>Laugh-Out-Loud</v>
      </c>
      <c r="C415" s="1" t="s">
        <v>267</v>
      </c>
      <c r="D415" s="2">
        <v>4.5999999999999996</v>
      </c>
      <c r="E415" s="2">
        <v>6990</v>
      </c>
      <c r="F415" s="2">
        <v>4</v>
      </c>
      <c r="G415" s="2" t="str">
        <f t="shared" si="19"/>
        <v>Normal Price</v>
      </c>
      <c r="H415" s="2">
        <v>2017</v>
      </c>
      <c r="I415" s="1" t="s">
        <v>9</v>
      </c>
      <c r="J415" s="5" t="str">
        <f t="shared" si="20"/>
        <v>Excellent</v>
      </c>
    </row>
    <row r="416" spans="1:10" ht="14.4" x14ac:dyDescent="0.3">
      <c r="A416" s="1" t="s">
        <v>346</v>
      </c>
      <c r="B416" s="1" t="str">
        <f t="shared" si="18"/>
        <v>Ready</v>
      </c>
      <c r="C416" s="1" t="s">
        <v>347</v>
      </c>
      <c r="D416" s="2">
        <v>4.5999999999999996</v>
      </c>
      <c r="E416" s="2">
        <v>22536</v>
      </c>
      <c r="F416" s="2">
        <v>12</v>
      </c>
      <c r="G416" s="2" t="str">
        <f t="shared" si="19"/>
        <v>High Price</v>
      </c>
      <c r="H416" s="2">
        <v>2017</v>
      </c>
      <c r="I416" s="1" t="s">
        <v>12</v>
      </c>
      <c r="J416" s="5" t="str">
        <f t="shared" si="20"/>
        <v>Excellent</v>
      </c>
    </row>
    <row r="417" spans="1:10" ht="14.4" x14ac:dyDescent="0.3">
      <c r="A417" s="1" t="s">
        <v>514</v>
      </c>
      <c r="B417" s="1" t="str">
        <f t="shared" si="18"/>
        <v>The</v>
      </c>
      <c r="C417" s="1" t="s">
        <v>515</v>
      </c>
      <c r="D417" s="2">
        <v>4.5999999999999996</v>
      </c>
      <c r="E417" s="2">
        <v>19720</v>
      </c>
      <c r="F417" s="2">
        <v>8</v>
      </c>
      <c r="G417" s="2" t="str">
        <f t="shared" si="19"/>
        <v>Normal Price</v>
      </c>
      <c r="H417" s="2">
        <v>2017</v>
      </c>
      <c r="I417" s="1" t="s">
        <v>12</v>
      </c>
      <c r="J417" s="5" t="str">
        <f t="shared" si="20"/>
        <v>Excellent</v>
      </c>
    </row>
    <row r="418" spans="1:10" ht="14.4" x14ac:dyDescent="0.3">
      <c r="A418" s="1" t="s">
        <v>520</v>
      </c>
      <c r="B418" s="1" t="str">
        <f t="shared" si="18"/>
        <v>The</v>
      </c>
      <c r="C418" s="1" t="s">
        <v>521</v>
      </c>
      <c r="D418" s="2">
        <v>4.5999999999999996</v>
      </c>
      <c r="E418" s="2">
        <v>26490</v>
      </c>
      <c r="F418" s="2">
        <v>15</v>
      </c>
      <c r="G418" s="2" t="str">
        <f t="shared" si="19"/>
        <v>High Price</v>
      </c>
      <c r="H418" s="2">
        <v>2017</v>
      </c>
      <c r="I418" s="1" t="s">
        <v>9</v>
      </c>
      <c r="J418" s="5" t="str">
        <f t="shared" si="20"/>
        <v>Excellent</v>
      </c>
    </row>
    <row r="419" spans="1:10" ht="14.4" x14ac:dyDescent="0.3">
      <c r="A419" s="1" t="s">
        <v>536</v>
      </c>
      <c r="B419" s="1" t="str">
        <f t="shared" si="18"/>
        <v>The</v>
      </c>
      <c r="C419" s="1" t="s">
        <v>537</v>
      </c>
      <c r="D419" s="2">
        <v>4.5999999999999996</v>
      </c>
      <c r="E419" s="2">
        <v>7508</v>
      </c>
      <c r="F419" s="2">
        <v>16</v>
      </c>
      <c r="G419" s="2" t="str">
        <f t="shared" si="19"/>
        <v>High Price</v>
      </c>
      <c r="H419" s="2">
        <v>2017</v>
      </c>
      <c r="I419" s="1" t="s">
        <v>9</v>
      </c>
      <c r="J419" s="5" t="str">
        <f t="shared" si="20"/>
        <v>Excellent</v>
      </c>
    </row>
    <row r="420" spans="1:10" ht="14.4" x14ac:dyDescent="0.3">
      <c r="A420" s="1" t="s">
        <v>554</v>
      </c>
      <c r="B420" s="1" t="str">
        <f t="shared" si="18"/>
        <v>Thug</v>
      </c>
      <c r="C420" s="1" t="s">
        <v>555</v>
      </c>
      <c r="D420" s="2">
        <v>4.5999999999999996</v>
      </c>
      <c r="E420" s="2">
        <v>11128</v>
      </c>
      <c r="F420" s="2">
        <v>23</v>
      </c>
      <c r="G420" s="2" t="str">
        <f t="shared" si="19"/>
        <v>High Price</v>
      </c>
      <c r="H420" s="2">
        <v>2017</v>
      </c>
      <c r="I420" s="1" t="s">
        <v>9</v>
      </c>
      <c r="J420" s="5" t="str">
        <f t="shared" si="20"/>
        <v>Excellent</v>
      </c>
    </row>
    <row r="421" spans="1:10" ht="14.4" x14ac:dyDescent="0.3">
      <c r="A421" s="1" t="s">
        <v>559</v>
      </c>
      <c r="B421" s="1" t="str">
        <f t="shared" si="18"/>
        <v>Tools</v>
      </c>
      <c r="C421" s="1" t="s">
        <v>382</v>
      </c>
      <c r="D421" s="2">
        <v>4.5999999999999996</v>
      </c>
      <c r="E421" s="2">
        <v>4360</v>
      </c>
      <c r="F421" s="2">
        <v>21</v>
      </c>
      <c r="G421" s="2" t="str">
        <f t="shared" si="19"/>
        <v>High Price</v>
      </c>
      <c r="H421" s="2">
        <v>2017</v>
      </c>
      <c r="I421" s="1" t="s">
        <v>9</v>
      </c>
      <c r="J421" s="5" t="str">
        <f t="shared" si="20"/>
        <v>Excellent</v>
      </c>
    </row>
    <row r="422" spans="1:10" ht="14.4" x14ac:dyDescent="0.3">
      <c r="A422" s="1" t="s">
        <v>577</v>
      </c>
      <c r="B422" s="1" t="str">
        <f t="shared" si="18"/>
        <v>What</v>
      </c>
      <c r="C422" s="1" t="s">
        <v>578</v>
      </c>
      <c r="D422" s="2">
        <v>4.5999999999999996</v>
      </c>
      <c r="E422" s="2">
        <v>5492</v>
      </c>
      <c r="F422" s="2">
        <v>18</v>
      </c>
      <c r="G422" s="2" t="str">
        <f t="shared" si="19"/>
        <v>High Price</v>
      </c>
      <c r="H422" s="2">
        <v>2017</v>
      </c>
      <c r="I422" s="1" t="s">
        <v>9</v>
      </c>
      <c r="J422" s="5" t="str">
        <f t="shared" si="20"/>
        <v>Excellent</v>
      </c>
    </row>
    <row r="423" spans="1:10" ht="14.4" x14ac:dyDescent="0.3">
      <c r="A423" s="1" t="s">
        <v>149</v>
      </c>
      <c r="B423" s="1" t="str">
        <f t="shared" si="18"/>
        <v>Fahrenheit</v>
      </c>
      <c r="C423" s="1" t="s">
        <v>150</v>
      </c>
      <c r="D423" s="2">
        <v>4.5999999999999996</v>
      </c>
      <c r="E423" s="2">
        <v>10721</v>
      </c>
      <c r="F423" s="2">
        <v>8</v>
      </c>
      <c r="G423" s="2" t="str">
        <f t="shared" si="19"/>
        <v>Normal Price</v>
      </c>
      <c r="H423" s="2">
        <v>2018</v>
      </c>
      <c r="I423" s="1" t="s">
        <v>12</v>
      </c>
      <c r="J423" s="5" t="str">
        <f t="shared" si="20"/>
        <v>Excellent</v>
      </c>
    </row>
    <row r="424" spans="1:10" ht="14.4" x14ac:dyDescent="0.3">
      <c r="A424" s="1" t="s">
        <v>180</v>
      </c>
      <c r="B424" s="1" t="str">
        <f t="shared" si="18"/>
        <v>Girl,</v>
      </c>
      <c r="C424" s="1" t="s">
        <v>179</v>
      </c>
      <c r="D424" s="2">
        <v>4.5999999999999996</v>
      </c>
      <c r="E424" s="2">
        <v>22288</v>
      </c>
      <c r="F424" s="2">
        <v>12</v>
      </c>
      <c r="G424" s="2" t="str">
        <f t="shared" si="19"/>
        <v>High Price</v>
      </c>
      <c r="H424" s="2">
        <v>2018</v>
      </c>
      <c r="I424" s="1" t="s">
        <v>9</v>
      </c>
      <c r="J424" s="5" t="str">
        <f t="shared" si="20"/>
        <v>Excellent</v>
      </c>
    </row>
    <row r="425" spans="1:10" ht="14.4" x14ac:dyDescent="0.3">
      <c r="A425" s="1" t="s">
        <v>346</v>
      </c>
      <c r="B425" s="1" t="str">
        <f t="shared" si="18"/>
        <v>Ready</v>
      </c>
      <c r="C425" s="1" t="s">
        <v>347</v>
      </c>
      <c r="D425" s="2">
        <v>4.5999999999999996</v>
      </c>
      <c r="E425" s="2">
        <v>22536</v>
      </c>
      <c r="F425" s="2">
        <v>12</v>
      </c>
      <c r="G425" s="2" t="str">
        <f t="shared" si="19"/>
        <v>High Price</v>
      </c>
      <c r="H425" s="2">
        <v>2018</v>
      </c>
      <c r="I425" s="1" t="s">
        <v>12</v>
      </c>
      <c r="J425" s="5" t="str">
        <f t="shared" si="20"/>
        <v>Excellent</v>
      </c>
    </row>
    <row r="426" spans="1:10" ht="14.4" x14ac:dyDescent="0.3">
      <c r="A426" s="1" t="s">
        <v>520</v>
      </c>
      <c r="B426" s="1" t="str">
        <f t="shared" si="18"/>
        <v>The</v>
      </c>
      <c r="C426" s="1" t="s">
        <v>521</v>
      </c>
      <c r="D426" s="2">
        <v>4.5999999999999996</v>
      </c>
      <c r="E426" s="2">
        <v>26490</v>
      </c>
      <c r="F426" s="2">
        <v>15</v>
      </c>
      <c r="G426" s="2" t="str">
        <f t="shared" si="19"/>
        <v>High Price</v>
      </c>
      <c r="H426" s="2">
        <v>2018</v>
      </c>
      <c r="I426" s="1" t="s">
        <v>9</v>
      </c>
      <c r="J426" s="5" t="str">
        <f t="shared" si="20"/>
        <v>Excellent</v>
      </c>
    </row>
    <row r="427" spans="1:10" ht="14.4" x14ac:dyDescent="0.3">
      <c r="A427" s="1" t="s">
        <v>594</v>
      </c>
      <c r="B427" s="1" t="str">
        <f t="shared" si="18"/>
        <v>Whose</v>
      </c>
      <c r="C427" s="1" t="s">
        <v>595</v>
      </c>
      <c r="D427" s="2">
        <v>4.5999999999999996</v>
      </c>
      <c r="E427" s="2">
        <v>6669</v>
      </c>
      <c r="F427" s="2">
        <v>12</v>
      </c>
      <c r="G427" s="2" t="str">
        <f t="shared" si="19"/>
        <v>High Price</v>
      </c>
      <c r="H427" s="2">
        <v>2018</v>
      </c>
      <c r="I427" s="1" t="s">
        <v>9</v>
      </c>
      <c r="J427" s="5" t="str">
        <f t="shared" si="20"/>
        <v>Excellent</v>
      </c>
    </row>
    <row r="428" spans="1:10" ht="14.4" x14ac:dyDescent="0.3">
      <c r="A428" s="1" t="s">
        <v>118</v>
      </c>
      <c r="B428" s="1" t="str">
        <f t="shared" si="18"/>
        <v>Difficult</v>
      </c>
      <c r="C428" s="1" t="s">
        <v>119</v>
      </c>
      <c r="D428" s="2">
        <v>4.5999999999999996</v>
      </c>
      <c r="E428" s="2">
        <v>7955</v>
      </c>
      <c r="F428" s="2">
        <v>5</v>
      </c>
      <c r="G428" s="2" t="str">
        <f t="shared" si="19"/>
        <v>Normal Price</v>
      </c>
      <c r="H428" s="2">
        <v>2019</v>
      </c>
      <c r="I428" s="1" t="s">
        <v>9</v>
      </c>
      <c r="J428" s="5" t="str">
        <f t="shared" si="20"/>
        <v>Excellent</v>
      </c>
    </row>
    <row r="429" spans="1:10" ht="14.4" x14ac:dyDescent="0.3">
      <c r="A429" s="1" t="s">
        <v>178</v>
      </c>
      <c r="B429" s="1" t="str">
        <f t="shared" si="18"/>
        <v>Girl,</v>
      </c>
      <c r="C429" s="1" t="s">
        <v>179</v>
      </c>
      <c r="D429" s="2">
        <v>4.5999999999999996</v>
      </c>
      <c r="E429" s="2">
        <v>7660</v>
      </c>
      <c r="F429" s="2">
        <v>12</v>
      </c>
      <c r="G429" s="2" t="str">
        <f t="shared" si="19"/>
        <v>High Price</v>
      </c>
      <c r="H429" s="2">
        <v>2019</v>
      </c>
      <c r="I429" s="1" t="s">
        <v>9</v>
      </c>
      <c r="J429" s="5" t="str">
        <f t="shared" si="20"/>
        <v>Excellent</v>
      </c>
    </row>
    <row r="430" spans="1:10" ht="14.4" x14ac:dyDescent="0.3">
      <c r="A430" s="1" t="s">
        <v>180</v>
      </c>
      <c r="B430" s="1" t="str">
        <f t="shared" si="18"/>
        <v>Girl,</v>
      </c>
      <c r="C430" s="1" t="s">
        <v>179</v>
      </c>
      <c r="D430" s="2">
        <v>4.5999999999999996</v>
      </c>
      <c r="E430" s="2">
        <v>22288</v>
      </c>
      <c r="F430" s="2">
        <v>12</v>
      </c>
      <c r="G430" s="2" t="str">
        <f t="shared" si="19"/>
        <v>High Price</v>
      </c>
      <c r="H430" s="2">
        <v>2019</v>
      </c>
      <c r="I430" s="1" t="s">
        <v>9</v>
      </c>
      <c r="J430" s="5" t="str">
        <f t="shared" si="20"/>
        <v>Excellent</v>
      </c>
    </row>
    <row r="431" spans="1:10" ht="14.4" x14ac:dyDescent="0.3">
      <c r="A431" s="1" t="s">
        <v>190</v>
      </c>
      <c r="B431" s="1" t="str">
        <f t="shared" si="18"/>
        <v>Good</v>
      </c>
      <c r="C431" s="1" t="s">
        <v>191</v>
      </c>
      <c r="D431" s="2">
        <v>4.5999999999999996</v>
      </c>
      <c r="E431" s="2">
        <v>10141</v>
      </c>
      <c r="F431" s="2">
        <v>6</v>
      </c>
      <c r="G431" s="2" t="str">
        <f t="shared" si="19"/>
        <v>Normal Price</v>
      </c>
      <c r="H431" s="2">
        <v>2019</v>
      </c>
      <c r="I431" s="1" t="s">
        <v>9</v>
      </c>
      <c r="J431" s="5" t="str">
        <f t="shared" si="20"/>
        <v>Excellent</v>
      </c>
    </row>
    <row r="432" spans="1:10" ht="14.4" x14ac:dyDescent="0.3">
      <c r="A432" s="1" t="s">
        <v>488</v>
      </c>
      <c r="B432" s="1" t="str">
        <f t="shared" si="18"/>
        <v>The</v>
      </c>
      <c r="C432" s="1" t="s">
        <v>489</v>
      </c>
      <c r="D432" s="2">
        <v>4.5999999999999996</v>
      </c>
      <c r="E432" s="2">
        <v>2744</v>
      </c>
      <c r="F432" s="2">
        <v>12</v>
      </c>
      <c r="G432" s="2" t="str">
        <f t="shared" si="19"/>
        <v>High Price</v>
      </c>
      <c r="H432" s="2">
        <v>2019</v>
      </c>
      <c r="I432" s="1" t="s">
        <v>9</v>
      </c>
      <c r="J432" s="5" t="str">
        <f t="shared" si="20"/>
        <v>Excellent</v>
      </c>
    </row>
    <row r="433" spans="1:10" ht="14.4" x14ac:dyDescent="0.3">
      <c r="A433" s="1" t="s">
        <v>520</v>
      </c>
      <c r="B433" s="1" t="str">
        <f t="shared" si="18"/>
        <v>The</v>
      </c>
      <c r="C433" s="1" t="s">
        <v>521</v>
      </c>
      <c r="D433" s="2">
        <v>4.5999999999999996</v>
      </c>
      <c r="E433" s="2">
        <v>26490</v>
      </c>
      <c r="F433" s="2">
        <v>15</v>
      </c>
      <c r="G433" s="2" t="str">
        <f t="shared" si="19"/>
        <v>High Price</v>
      </c>
      <c r="H433" s="2">
        <v>2019</v>
      </c>
      <c r="I433" s="1" t="s">
        <v>9</v>
      </c>
      <c r="J433" s="5" t="str">
        <f t="shared" si="20"/>
        <v>Excellent</v>
      </c>
    </row>
    <row r="434" spans="1:10" ht="13.2" x14ac:dyDescent="0.25">
      <c r="A434" s="3" t="s">
        <v>609</v>
      </c>
      <c r="B434" s="3" t="str">
        <f t="shared" si="18"/>
        <v>Too</v>
      </c>
      <c r="C434" s="3" t="s">
        <v>610</v>
      </c>
      <c r="D434" s="3">
        <v>4.5999999999999996</v>
      </c>
      <c r="E434" s="3">
        <v>94196</v>
      </c>
      <c r="F434" s="3">
        <v>17</v>
      </c>
      <c r="G434" s="3" t="str">
        <f t="shared" si="19"/>
        <v>High Price</v>
      </c>
      <c r="H434" s="3">
        <v>2020</v>
      </c>
      <c r="I434" s="3" t="s">
        <v>9</v>
      </c>
      <c r="J434" s="5" t="str">
        <f t="shared" si="20"/>
        <v>Excellent</v>
      </c>
    </row>
    <row r="435" spans="1:10" ht="13.2" x14ac:dyDescent="0.25">
      <c r="A435" s="3" t="s">
        <v>632</v>
      </c>
      <c r="B435" s="3" t="str">
        <f t="shared" si="18"/>
        <v>American</v>
      </c>
      <c r="C435" s="3" t="s">
        <v>633</v>
      </c>
      <c r="D435" s="3">
        <v>4.5999999999999996</v>
      </c>
      <c r="E435" s="3">
        <v>41716</v>
      </c>
      <c r="F435" s="3">
        <v>17</v>
      </c>
      <c r="G435" s="3" t="str">
        <f t="shared" si="19"/>
        <v>High Price</v>
      </c>
      <c r="H435" s="3">
        <v>2020</v>
      </c>
      <c r="I435" s="3" t="s">
        <v>12</v>
      </c>
      <c r="J435" s="5" t="str">
        <f t="shared" si="20"/>
        <v>Excellent</v>
      </c>
    </row>
    <row r="436" spans="1:10" ht="13.2" x14ac:dyDescent="0.25">
      <c r="A436" s="3" t="s">
        <v>665</v>
      </c>
      <c r="B436" s="3" t="str">
        <f t="shared" si="18"/>
        <v>Burn</v>
      </c>
      <c r="C436" s="3" t="s">
        <v>666</v>
      </c>
      <c r="D436" s="3">
        <v>4.5999999999999996</v>
      </c>
      <c r="E436" s="3">
        <v>26423</v>
      </c>
      <c r="F436" s="3">
        <v>8</v>
      </c>
      <c r="G436" s="3" t="str">
        <f t="shared" si="19"/>
        <v>Normal Price</v>
      </c>
      <c r="H436" s="3">
        <v>2020</v>
      </c>
      <c r="I436" s="3" t="s">
        <v>9</v>
      </c>
      <c r="J436" s="5" t="str">
        <f t="shared" si="20"/>
        <v>Excellent</v>
      </c>
    </row>
    <row r="437" spans="1:10" ht="14.4" x14ac:dyDescent="0.3">
      <c r="A437" s="1" t="s">
        <v>138</v>
      </c>
      <c r="B437" s="1" t="str">
        <f t="shared" si="18"/>
        <v>Eat</v>
      </c>
      <c r="C437" s="1" t="s">
        <v>139</v>
      </c>
      <c r="D437" s="2">
        <v>4.5</v>
      </c>
      <c r="E437" s="2">
        <v>720</v>
      </c>
      <c r="F437" s="2">
        <v>1</v>
      </c>
      <c r="G437" s="2" t="str">
        <f t="shared" si="19"/>
        <v>Normal Price</v>
      </c>
      <c r="H437" s="2">
        <v>2009</v>
      </c>
      <c r="I437" s="1" t="s">
        <v>9</v>
      </c>
      <c r="J437" s="5" t="str">
        <f t="shared" si="20"/>
        <v>Excellent</v>
      </c>
    </row>
    <row r="438" spans="1:10" ht="14.4" x14ac:dyDescent="0.3">
      <c r="A438" s="1" t="s">
        <v>192</v>
      </c>
      <c r="B438" s="1" t="str">
        <f t="shared" si="18"/>
        <v>Good</v>
      </c>
      <c r="C438" s="1" t="s">
        <v>193</v>
      </c>
      <c r="D438" s="2">
        <v>4.5</v>
      </c>
      <c r="E438" s="2">
        <v>3457</v>
      </c>
      <c r="F438" s="2">
        <v>14</v>
      </c>
      <c r="G438" s="2" t="str">
        <f t="shared" si="19"/>
        <v>High Price</v>
      </c>
      <c r="H438" s="2">
        <v>2009</v>
      </c>
      <c r="I438" s="1" t="s">
        <v>9</v>
      </c>
      <c r="J438" s="5" t="str">
        <f t="shared" si="20"/>
        <v>Excellent</v>
      </c>
    </row>
    <row r="439" spans="1:10" ht="14.4" x14ac:dyDescent="0.3">
      <c r="A439" s="1" t="s">
        <v>338</v>
      </c>
      <c r="B439" s="1" t="str">
        <f t="shared" si="18"/>
        <v>Publication</v>
      </c>
      <c r="C439" s="1" t="s">
        <v>339</v>
      </c>
      <c r="D439" s="2">
        <v>4.5</v>
      </c>
      <c r="E439" s="2">
        <v>8580</v>
      </c>
      <c r="F439" s="2">
        <v>46</v>
      </c>
      <c r="G439" s="2" t="str">
        <f t="shared" si="19"/>
        <v>High Price</v>
      </c>
      <c r="H439" s="2">
        <v>2009</v>
      </c>
      <c r="I439" s="1" t="s">
        <v>9</v>
      </c>
      <c r="J439" s="5" t="str">
        <f t="shared" si="20"/>
        <v>Excellent</v>
      </c>
    </row>
    <row r="440" spans="1:10" ht="14.4" x14ac:dyDescent="0.3">
      <c r="A440" s="1" t="s">
        <v>371</v>
      </c>
      <c r="B440" s="1" t="str">
        <f t="shared" si="18"/>
        <v>Super</v>
      </c>
      <c r="C440" s="1" t="s">
        <v>372</v>
      </c>
      <c r="D440" s="2">
        <v>4.5</v>
      </c>
      <c r="E440" s="2">
        <v>1583</v>
      </c>
      <c r="F440" s="2">
        <v>18</v>
      </c>
      <c r="G440" s="2" t="str">
        <f t="shared" si="19"/>
        <v>High Price</v>
      </c>
      <c r="H440" s="2">
        <v>2009</v>
      </c>
      <c r="I440" s="1" t="s">
        <v>9</v>
      </c>
      <c r="J440" s="5" t="str">
        <f t="shared" si="20"/>
        <v>Excellent</v>
      </c>
    </row>
    <row r="441" spans="1:10" ht="14.4" x14ac:dyDescent="0.3">
      <c r="A441" s="1" t="s">
        <v>562</v>
      </c>
      <c r="B441" s="1" t="str">
        <f t="shared" si="18"/>
        <v>True</v>
      </c>
      <c r="C441" s="1" t="s">
        <v>563</v>
      </c>
      <c r="D441" s="2">
        <v>4.5</v>
      </c>
      <c r="E441" s="2">
        <v>438</v>
      </c>
      <c r="F441" s="2">
        <v>15</v>
      </c>
      <c r="G441" s="2" t="str">
        <f t="shared" si="19"/>
        <v>High Price</v>
      </c>
      <c r="H441" s="2">
        <v>2009</v>
      </c>
      <c r="I441" s="1" t="s">
        <v>9</v>
      </c>
      <c r="J441" s="5" t="str">
        <f t="shared" si="20"/>
        <v>Excellent</v>
      </c>
    </row>
    <row r="442" spans="1:10" ht="14.4" x14ac:dyDescent="0.3">
      <c r="A442" s="1" t="s">
        <v>75</v>
      </c>
      <c r="B442" s="1" t="str">
        <f t="shared" si="18"/>
        <v>Broke:</v>
      </c>
      <c r="C442" s="1" t="s">
        <v>53</v>
      </c>
      <c r="D442" s="2">
        <v>4.5</v>
      </c>
      <c r="E442" s="2">
        <v>471</v>
      </c>
      <c r="F442" s="2">
        <v>8</v>
      </c>
      <c r="G442" s="2" t="str">
        <f t="shared" si="19"/>
        <v>Normal Price</v>
      </c>
      <c r="H442" s="2">
        <v>2010</v>
      </c>
      <c r="I442" s="1" t="s">
        <v>9</v>
      </c>
      <c r="J442" s="5" t="str">
        <f t="shared" si="20"/>
        <v>Excellent</v>
      </c>
    </row>
    <row r="443" spans="1:10" ht="14.4" x14ac:dyDescent="0.3">
      <c r="A443" s="1" t="s">
        <v>136</v>
      </c>
      <c r="B443" s="1" t="str">
        <f t="shared" si="18"/>
        <v>Drive:</v>
      </c>
      <c r="C443" s="1" t="s">
        <v>137</v>
      </c>
      <c r="D443" s="2">
        <v>4.5</v>
      </c>
      <c r="E443" s="2">
        <v>2525</v>
      </c>
      <c r="F443" s="2">
        <v>16</v>
      </c>
      <c r="G443" s="2" t="str">
        <f t="shared" si="19"/>
        <v>High Price</v>
      </c>
      <c r="H443" s="2">
        <v>2010</v>
      </c>
      <c r="I443" s="1" t="s">
        <v>9</v>
      </c>
      <c r="J443" s="5" t="str">
        <f t="shared" si="20"/>
        <v>Excellent</v>
      </c>
    </row>
    <row r="444" spans="1:10" ht="14.4" x14ac:dyDescent="0.3">
      <c r="A444" s="1" t="s">
        <v>172</v>
      </c>
      <c r="B444" s="1" t="str">
        <f t="shared" si="18"/>
        <v>George</v>
      </c>
      <c r="C444" s="1" t="s">
        <v>173</v>
      </c>
      <c r="D444" s="2">
        <v>4.5</v>
      </c>
      <c r="E444" s="2">
        <v>408</v>
      </c>
      <c r="F444" s="2">
        <v>20</v>
      </c>
      <c r="G444" s="2" t="str">
        <f t="shared" si="19"/>
        <v>High Price</v>
      </c>
      <c r="H444" s="2">
        <v>2010</v>
      </c>
      <c r="I444" s="1" t="s">
        <v>9</v>
      </c>
      <c r="J444" s="5" t="str">
        <f t="shared" si="20"/>
        <v>Excellent</v>
      </c>
    </row>
    <row r="445" spans="1:10" ht="14.4" x14ac:dyDescent="0.3">
      <c r="A445" s="1" t="s">
        <v>192</v>
      </c>
      <c r="B445" s="1" t="str">
        <f t="shared" si="18"/>
        <v>Good</v>
      </c>
      <c r="C445" s="1" t="s">
        <v>193</v>
      </c>
      <c r="D445" s="2">
        <v>4.5</v>
      </c>
      <c r="E445" s="2">
        <v>3457</v>
      </c>
      <c r="F445" s="2">
        <v>14</v>
      </c>
      <c r="G445" s="2" t="str">
        <f t="shared" si="19"/>
        <v>High Price</v>
      </c>
      <c r="H445" s="2">
        <v>2010</v>
      </c>
      <c r="I445" s="1" t="s">
        <v>9</v>
      </c>
      <c r="J445" s="5" t="str">
        <f t="shared" si="20"/>
        <v>Excellent</v>
      </c>
    </row>
    <row r="446" spans="1:10" ht="14.4" x14ac:dyDescent="0.3">
      <c r="A446" s="1" t="s">
        <v>279</v>
      </c>
      <c r="B446" s="1" t="str">
        <f t="shared" si="18"/>
        <v>Life</v>
      </c>
      <c r="C446" s="1" t="s">
        <v>280</v>
      </c>
      <c r="D446" s="2">
        <v>4.5</v>
      </c>
      <c r="E446" s="2">
        <v>2752</v>
      </c>
      <c r="F446" s="2">
        <v>18</v>
      </c>
      <c r="G446" s="2" t="str">
        <f t="shared" si="19"/>
        <v>High Price</v>
      </c>
      <c r="H446" s="2">
        <v>2010</v>
      </c>
      <c r="I446" s="1" t="s">
        <v>9</v>
      </c>
      <c r="J446" s="5" t="str">
        <f t="shared" si="20"/>
        <v>Excellent</v>
      </c>
    </row>
    <row r="447" spans="1:10" ht="14.4" x14ac:dyDescent="0.3">
      <c r="A447" s="1" t="s">
        <v>305</v>
      </c>
      <c r="B447" s="1" t="str">
        <f t="shared" si="18"/>
        <v>Mockingjay</v>
      </c>
      <c r="C447" s="1" t="s">
        <v>87</v>
      </c>
      <c r="D447" s="2">
        <v>4.5</v>
      </c>
      <c r="E447" s="2">
        <v>26741</v>
      </c>
      <c r="F447" s="2">
        <v>8</v>
      </c>
      <c r="G447" s="2" t="str">
        <f t="shared" si="19"/>
        <v>Normal Price</v>
      </c>
      <c r="H447" s="2">
        <v>2010</v>
      </c>
      <c r="I447" s="1" t="s">
        <v>12</v>
      </c>
      <c r="J447" s="5" t="str">
        <f t="shared" si="20"/>
        <v>Excellent</v>
      </c>
    </row>
    <row r="448" spans="1:10" ht="14.4" x14ac:dyDescent="0.3">
      <c r="A448" s="1" t="s">
        <v>338</v>
      </c>
      <c r="B448" s="1" t="str">
        <f t="shared" si="18"/>
        <v>Publication</v>
      </c>
      <c r="C448" s="1" t="s">
        <v>339</v>
      </c>
      <c r="D448" s="2">
        <v>4.5</v>
      </c>
      <c r="E448" s="2">
        <v>8580</v>
      </c>
      <c r="F448" s="2">
        <v>46</v>
      </c>
      <c r="G448" s="2" t="str">
        <f t="shared" si="19"/>
        <v>High Price</v>
      </c>
      <c r="H448" s="2">
        <v>2010</v>
      </c>
      <c r="I448" s="1" t="s">
        <v>9</v>
      </c>
      <c r="J448" s="5" t="str">
        <f t="shared" si="20"/>
        <v>Excellent</v>
      </c>
    </row>
    <row r="449" spans="1:10" ht="14.4" x14ac:dyDescent="0.3">
      <c r="A449" s="1" t="s">
        <v>141</v>
      </c>
      <c r="B449" s="1" t="str">
        <f t="shared" si="18"/>
        <v>Eat</v>
      </c>
      <c r="C449" s="1" t="s">
        <v>142</v>
      </c>
      <c r="D449" s="2">
        <v>4.5</v>
      </c>
      <c r="E449" s="2">
        <v>6346</v>
      </c>
      <c r="F449" s="2">
        <v>9</v>
      </c>
      <c r="G449" s="2" t="str">
        <f t="shared" si="19"/>
        <v>Normal Price</v>
      </c>
      <c r="H449" s="2">
        <v>2011</v>
      </c>
      <c r="I449" s="1" t="s">
        <v>9</v>
      </c>
      <c r="J449" s="5" t="str">
        <f t="shared" si="20"/>
        <v>Excellent</v>
      </c>
    </row>
    <row r="450" spans="1:10" ht="14.4" x14ac:dyDescent="0.3">
      <c r="A450" s="1" t="s">
        <v>192</v>
      </c>
      <c r="B450" s="1" t="str">
        <f t="shared" ref="B450:B513" si="21">LEFT(A450,FIND(" ",A450&amp;" ")-1)</f>
        <v>Good</v>
      </c>
      <c r="C450" s="1" t="s">
        <v>193</v>
      </c>
      <c r="D450" s="2">
        <v>4.5</v>
      </c>
      <c r="E450" s="2">
        <v>3457</v>
      </c>
      <c r="F450" s="2">
        <v>14</v>
      </c>
      <c r="G450" s="2" t="str">
        <f t="shared" ref="G450:G513" si="22">IF(F450&gt;10,"High Price","Normal Price")</f>
        <v>High Price</v>
      </c>
      <c r="H450" s="2">
        <v>2011</v>
      </c>
      <c r="I450" s="1" t="s">
        <v>9</v>
      </c>
      <c r="J450" s="5" t="str">
        <f t="shared" ref="J450:J513" si="23">IF(D450&gt;=4.5,"Excellent",IF(D450&gt;=4,"Good","Average"))</f>
        <v>Excellent</v>
      </c>
    </row>
    <row r="451" spans="1:10" ht="14.4" x14ac:dyDescent="0.3">
      <c r="A451" s="1" t="s">
        <v>305</v>
      </c>
      <c r="B451" s="1" t="str">
        <f t="shared" si="21"/>
        <v>Mockingjay</v>
      </c>
      <c r="C451" s="1" t="s">
        <v>87</v>
      </c>
      <c r="D451" s="2">
        <v>4.5</v>
      </c>
      <c r="E451" s="2">
        <v>26741</v>
      </c>
      <c r="F451" s="2">
        <v>8</v>
      </c>
      <c r="G451" s="2" t="str">
        <f t="shared" si="22"/>
        <v>Normal Price</v>
      </c>
      <c r="H451" s="2">
        <v>2011</v>
      </c>
      <c r="I451" s="1" t="s">
        <v>12</v>
      </c>
      <c r="J451" s="5" t="str">
        <f t="shared" si="23"/>
        <v>Excellent</v>
      </c>
    </row>
    <row r="452" spans="1:10" ht="14.4" x14ac:dyDescent="0.3">
      <c r="A452" s="1" t="s">
        <v>338</v>
      </c>
      <c r="B452" s="1" t="str">
        <f t="shared" si="21"/>
        <v>Publication</v>
      </c>
      <c r="C452" s="1" t="s">
        <v>339</v>
      </c>
      <c r="D452" s="2">
        <v>4.5</v>
      </c>
      <c r="E452" s="2">
        <v>8580</v>
      </c>
      <c r="F452" s="2">
        <v>46</v>
      </c>
      <c r="G452" s="2" t="str">
        <f t="shared" si="22"/>
        <v>High Price</v>
      </c>
      <c r="H452" s="2">
        <v>2011</v>
      </c>
      <c r="I452" s="1" t="s">
        <v>9</v>
      </c>
      <c r="J452" s="5" t="str">
        <f t="shared" si="23"/>
        <v>Excellent</v>
      </c>
    </row>
    <row r="453" spans="1:10" ht="14.4" x14ac:dyDescent="0.3">
      <c r="A453" s="1" t="s">
        <v>575</v>
      </c>
      <c r="B453" s="1" t="str">
        <f t="shared" si="21"/>
        <v>Water</v>
      </c>
      <c r="C453" s="1" t="s">
        <v>576</v>
      </c>
      <c r="D453" s="2">
        <v>4.5</v>
      </c>
      <c r="E453" s="2">
        <v>8958</v>
      </c>
      <c r="F453" s="2">
        <v>12</v>
      </c>
      <c r="G453" s="2" t="str">
        <f t="shared" si="22"/>
        <v>High Price</v>
      </c>
      <c r="H453" s="2">
        <v>2011</v>
      </c>
      <c r="I453" s="1" t="s">
        <v>12</v>
      </c>
      <c r="J453" s="5" t="str">
        <f t="shared" si="23"/>
        <v>Excellent</v>
      </c>
    </row>
    <row r="454" spans="1:10" ht="14.4" x14ac:dyDescent="0.3">
      <c r="A454" s="1" t="s">
        <v>141</v>
      </c>
      <c r="B454" s="1" t="str">
        <f t="shared" si="21"/>
        <v>Eat</v>
      </c>
      <c r="C454" s="1" t="s">
        <v>142</v>
      </c>
      <c r="D454" s="2">
        <v>4.5</v>
      </c>
      <c r="E454" s="2">
        <v>6346</v>
      </c>
      <c r="F454" s="2">
        <v>9</v>
      </c>
      <c r="G454" s="2" t="str">
        <f t="shared" si="22"/>
        <v>Normal Price</v>
      </c>
      <c r="H454" s="2">
        <v>2012</v>
      </c>
      <c r="I454" s="1" t="s">
        <v>9</v>
      </c>
      <c r="J454" s="5" t="str">
        <f t="shared" si="23"/>
        <v>Excellent</v>
      </c>
    </row>
    <row r="455" spans="1:10" ht="14.4" x14ac:dyDescent="0.3">
      <c r="A455" s="1" t="s">
        <v>157</v>
      </c>
      <c r="B455" s="1" t="str">
        <f t="shared" si="21"/>
        <v>Fifty</v>
      </c>
      <c r="C455" s="1" t="s">
        <v>156</v>
      </c>
      <c r="D455" s="2">
        <v>4.5</v>
      </c>
      <c r="E455" s="2">
        <v>20262</v>
      </c>
      <c r="F455" s="2">
        <v>11</v>
      </c>
      <c r="G455" s="2" t="str">
        <f t="shared" si="22"/>
        <v>High Price</v>
      </c>
      <c r="H455" s="2">
        <v>2012</v>
      </c>
      <c r="I455" s="1" t="s">
        <v>12</v>
      </c>
      <c r="J455" s="5" t="str">
        <f t="shared" si="23"/>
        <v>Excellent</v>
      </c>
    </row>
    <row r="456" spans="1:10" ht="14.4" x14ac:dyDescent="0.3">
      <c r="A456" s="1" t="s">
        <v>159</v>
      </c>
      <c r="B456" s="1" t="str">
        <f t="shared" si="21"/>
        <v>Fifty</v>
      </c>
      <c r="C456" s="1" t="s">
        <v>156</v>
      </c>
      <c r="D456" s="2">
        <v>4.5</v>
      </c>
      <c r="E456" s="2">
        <v>13964</v>
      </c>
      <c r="F456" s="2">
        <v>32</v>
      </c>
      <c r="G456" s="2" t="str">
        <f t="shared" si="22"/>
        <v>High Price</v>
      </c>
      <c r="H456" s="2">
        <v>2012</v>
      </c>
      <c r="I456" s="1" t="s">
        <v>12</v>
      </c>
      <c r="J456" s="5" t="str">
        <f t="shared" si="23"/>
        <v>Excellent</v>
      </c>
    </row>
    <row r="457" spans="1:10" ht="14.4" x14ac:dyDescent="0.3">
      <c r="A457" s="1" t="s">
        <v>192</v>
      </c>
      <c r="B457" s="1" t="str">
        <f t="shared" si="21"/>
        <v>Good</v>
      </c>
      <c r="C457" s="1" t="s">
        <v>193</v>
      </c>
      <c r="D457" s="2">
        <v>4.5</v>
      </c>
      <c r="E457" s="2">
        <v>3457</v>
      </c>
      <c r="F457" s="2">
        <v>14</v>
      </c>
      <c r="G457" s="2" t="str">
        <f t="shared" si="22"/>
        <v>High Price</v>
      </c>
      <c r="H457" s="2">
        <v>2012</v>
      </c>
      <c r="I457" s="1" t="s">
        <v>9</v>
      </c>
      <c r="J457" s="5" t="str">
        <f t="shared" si="23"/>
        <v>Excellent</v>
      </c>
    </row>
    <row r="458" spans="1:10" ht="14.4" x14ac:dyDescent="0.3">
      <c r="A458" s="1" t="s">
        <v>305</v>
      </c>
      <c r="B458" s="1" t="str">
        <f t="shared" si="21"/>
        <v>Mockingjay</v>
      </c>
      <c r="C458" s="1" t="s">
        <v>87</v>
      </c>
      <c r="D458" s="2">
        <v>4.5</v>
      </c>
      <c r="E458" s="2">
        <v>26741</v>
      </c>
      <c r="F458" s="2">
        <v>8</v>
      </c>
      <c r="G458" s="2" t="str">
        <f t="shared" si="22"/>
        <v>Normal Price</v>
      </c>
      <c r="H458" s="2">
        <v>2012</v>
      </c>
      <c r="I458" s="1" t="s">
        <v>12</v>
      </c>
      <c r="J458" s="5" t="str">
        <f t="shared" si="23"/>
        <v>Excellent</v>
      </c>
    </row>
    <row r="459" spans="1:10" ht="14.4" x14ac:dyDescent="0.3">
      <c r="A459" s="1" t="s">
        <v>338</v>
      </c>
      <c r="B459" s="1" t="str">
        <f t="shared" si="21"/>
        <v>Publication</v>
      </c>
      <c r="C459" s="1" t="s">
        <v>339</v>
      </c>
      <c r="D459" s="2">
        <v>4.5</v>
      </c>
      <c r="E459" s="2">
        <v>8580</v>
      </c>
      <c r="F459" s="2">
        <v>46</v>
      </c>
      <c r="G459" s="2" t="str">
        <f t="shared" si="22"/>
        <v>High Price</v>
      </c>
      <c r="H459" s="2">
        <v>2012</v>
      </c>
      <c r="I459" s="1" t="s">
        <v>9</v>
      </c>
      <c r="J459" s="5" t="str">
        <f t="shared" si="23"/>
        <v>Excellent</v>
      </c>
    </row>
    <row r="460" spans="1:10" ht="14.4" x14ac:dyDescent="0.3">
      <c r="A460" s="1" t="s">
        <v>550</v>
      </c>
      <c r="B460" s="1" t="str">
        <f t="shared" si="21"/>
        <v>Thomas</v>
      </c>
      <c r="C460" s="1" t="s">
        <v>551</v>
      </c>
      <c r="D460" s="2">
        <v>4.5</v>
      </c>
      <c r="E460" s="2">
        <v>1904</v>
      </c>
      <c r="F460" s="2">
        <v>23</v>
      </c>
      <c r="G460" s="2" t="str">
        <f t="shared" si="22"/>
        <v>High Price</v>
      </c>
      <c r="H460" s="2">
        <v>2012</v>
      </c>
      <c r="I460" s="1" t="s">
        <v>9</v>
      </c>
      <c r="J460" s="5" t="str">
        <f t="shared" si="23"/>
        <v>Excellent</v>
      </c>
    </row>
    <row r="461" spans="1:10" ht="14.4" x14ac:dyDescent="0.3">
      <c r="A461" s="1" t="s">
        <v>598</v>
      </c>
      <c r="B461" s="1" t="str">
        <f t="shared" si="21"/>
        <v>Winter</v>
      </c>
      <c r="C461" s="1" t="s">
        <v>599</v>
      </c>
      <c r="D461" s="2">
        <v>4.5</v>
      </c>
      <c r="E461" s="2">
        <v>10760</v>
      </c>
      <c r="F461" s="2">
        <v>15</v>
      </c>
      <c r="G461" s="2" t="str">
        <f t="shared" si="22"/>
        <v>High Price</v>
      </c>
      <c r="H461" s="2">
        <v>2012</v>
      </c>
      <c r="I461" s="1" t="s">
        <v>12</v>
      </c>
      <c r="J461" s="5" t="str">
        <f t="shared" si="23"/>
        <v>Excellent</v>
      </c>
    </row>
    <row r="462" spans="1:10" ht="14.4" x14ac:dyDescent="0.3">
      <c r="A462" s="1" t="s">
        <v>113</v>
      </c>
      <c r="B462" s="1" t="str">
        <f t="shared" si="21"/>
        <v>Diagnostic</v>
      </c>
      <c r="C462" s="1" t="s">
        <v>114</v>
      </c>
      <c r="D462" s="2">
        <v>4.5</v>
      </c>
      <c r="E462" s="2">
        <v>6679</v>
      </c>
      <c r="F462" s="2">
        <v>105</v>
      </c>
      <c r="G462" s="2" t="str">
        <f t="shared" si="22"/>
        <v>High Price</v>
      </c>
      <c r="H462" s="2">
        <v>2013</v>
      </c>
      <c r="I462" s="1" t="s">
        <v>9</v>
      </c>
      <c r="J462" s="5" t="str">
        <f t="shared" si="23"/>
        <v>Excellent</v>
      </c>
    </row>
    <row r="463" spans="1:10" ht="14.4" x14ac:dyDescent="0.3">
      <c r="A463" s="1" t="s">
        <v>254</v>
      </c>
      <c r="B463" s="1" t="str">
        <f t="shared" si="21"/>
        <v>Joyland</v>
      </c>
      <c r="C463" s="1" t="s">
        <v>11</v>
      </c>
      <c r="D463" s="2">
        <v>4.5</v>
      </c>
      <c r="E463" s="2">
        <v>4748</v>
      </c>
      <c r="F463" s="2">
        <v>12</v>
      </c>
      <c r="G463" s="2" t="str">
        <f t="shared" si="22"/>
        <v>High Price</v>
      </c>
      <c r="H463" s="2">
        <v>2013</v>
      </c>
      <c r="I463" s="1" t="s">
        <v>12</v>
      </c>
      <c r="J463" s="5" t="str">
        <f t="shared" si="23"/>
        <v>Excellent</v>
      </c>
    </row>
    <row r="464" spans="1:10" ht="14.4" x14ac:dyDescent="0.3">
      <c r="A464" s="1" t="s">
        <v>257</v>
      </c>
      <c r="B464" s="1" t="str">
        <f t="shared" si="21"/>
        <v>Killing</v>
      </c>
      <c r="C464" s="1" t="s">
        <v>258</v>
      </c>
      <c r="D464" s="2">
        <v>4.5</v>
      </c>
      <c r="E464" s="2">
        <v>11391</v>
      </c>
      <c r="F464" s="2">
        <v>12</v>
      </c>
      <c r="G464" s="2" t="str">
        <f t="shared" si="22"/>
        <v>High Price</v>
      </c>
      <c r="H464" s="2">
        <v>2013</v>
      </c>
      <c r="I464" s="1" t="s">
        <v>9</v>
      </c>
      <c r="J464" s="5" t="str">
        <f t="shared" si="23"/>
        <v>Excellent</v>
      </c>
    </row>
    <row r="465" spans="1:10" ht="14.4" x14ac:dyDescent="0.3">
      <c r="A465" s="1" t="s">
        <v>266</v>
      </c>
      <c r="B465" s="1" t="str">
        <f t="shared" si="21"/>
        <v>Knock-Knock</v>
      </c>
      <c r="C465" s="1" t="s">
        <v>267</v>
      </c>
      <c r="D465" s="2">
        <v>4.5</v>
      </c>
      <c r="E465" s="2">
        <v>3673</v>
      </c>
      <c r="F465" s="2">
        <v>4</v>
      </c>
      <c r="G465" s="2" t="str">
        <f t="shared" si="22"/>
        <v>Normal Price</v>
      </c>
      <c r="H465" s="2">
        <v>2013</v>
      </c>
      <c r="I465" s="1" t="s">
        <v>9</v>
      </c>
      <c r="J465" s="5" t="str">
        <f t="shared" si="23"/>
        <v>Excellent</v>
      </c>
    </row>
    <row r="466" spans="1:10" ht="14.4" x14ac:dyDescent="0.3">
      <c r="A466" s="1" t="s">
        <v>271</v>
      </c>
      <c r="B466" s="1" t="str">
        <f t="shared" si="21"/>
        <v>Lean</v>
      </c>
      <c r="C466" s="1" t="s">
        <v>272</v>
      </c>
      <c r="D466" s="2">
        <v>4.5</v>
      </c>
      <c r="E466" s="2">
        <v>6132</v>
      </c>
      <c r="F466" s="2">
        <v>13</v>
      </c>
      <c r="G466" s="2" t="str">
        <f t="shared" si="22"/>
        <v>High Price</v>
      </c>
      <c r="H466" s="2">
        <v>2013</v>
      </c>
      <c r="I466" s="1" t="s">
        <v>9</v>
      </c>
      <c r="J466" s="5" t="str">
        <f t="shared" si="23"/>
        <v>Excellent</v>
      </c>
    </row>
    <row r="467" spans="1:10" ht="14.4" x14ac:dyDescent="0.3">
      <c r="A467" s="1" t="s">
        <v>338</v>
      </c>
      <c r="B467" s="1" t="str">
        <f t="shared" si="21"/>
        <v>Publication</v>
      </c>
      <c r="C467" s="1" t="s">
        <v>339</v>
      </c>
      <c r="D467" s="2">
        <v>4.5</v>
      </c>
      <c r="E467" s="2">
        <v>8580</v>
      </c>
      <c r="F467" s="2">
        <v>46</v>
      </c>
      <c r="G467" s="2" t="str">
        <f t="shared" si="22"/>
        <v>High Price</v>
      </c>
      <c r="H467" s="2">
        <v>2013</v>
      </c>
      <c r="I467" s="1" t="s">
        <v>9</v>
      </c>
      <c r="J467" s="5" t="str">
        <f t="shared" si="23"/>
        <v>Excellent</v>
      </c>
    </row>
    <row r="468" spans="1:10" ht="14.4" x14ac:dyDescent="0.3">
      <c r="A468" s="1" t="s">
        <v>375</v>
      </c>
      <c r="B468" s="1" t="str">
        <f t="shared" si="21"/>
        <v>Sycamore</v>
      </c>
      <c r="C468" s="1" t="s">
        <v>376</v>
      </c>
      <c r="D468" s="2">
        <v>4.5</v>
      </c>
      <c r="E468" s="2">
        <v>23114</v>
      </c>
      <c r="F468" s="2">
        <v>18</v>
      </c>
      <c r="G468" s="2" t="str">
        <f t="shared" si="22"/>
        <v>High Price</v>
      </c>
      <c r="H468" s="2">
        <v>2013</v>
      </c>
      <c r="I468" s="1" t="s">
        <v>12</v>
      </c>
      <c r="J468" s="5" t="str">
        <f t="shared" si="23"/>
        <v>Excellent</v>
      </c>
    </row>
    <row r="469" spans="1:10" ht="14.4" x14ac:dyDescent="0.3">
      <c r="A469" s="1" t="s">
        <v>84</v>
      </c>
      <c r="B469" s="1" t="str">
        <f t="shared" si="21"/>
        <v>Capital</v>
      </c>
      <c r="C469" s="1" t="s">
        <v>85</v>
      </c>
      <c r="D469" s="2">
        <v>4.5</v>
      </c>
      <c r="E469" s="2">
        <v>2884</v>
      </c>
      <c r="F469" s="2">
        <v>28</v>
      </c>
      <c r="G469" s="2" t="str">
        <f t="shared" si="22"/>
        <v>High Price</v>
      </c>
      <c r="H469" s="2">
        <v>2014</v>
      </c>
      <c r="I469" s="1" t="s">
        <v>9</v>
      </c>
      <c r="J469" s="5" t="str">
        <f t="shared" si="23"/>
        <v>Excellent</v>
      </c>
    </row>
    <row r="470" spans="1:10" ht="14.4" x14ac:dyDescent="0.3">
      <c r="A470" s="1" t="s">
        <v>113</v>
      </c>
      <c r="B470" s="1" t="str">
        <f t="shared" si="21"/>
        <v>Diagnostic</v>
      </c>
      <c r="C470" s="1" t="s">
        <v>114</v>
      </c>
      <c r="D470" s="2">
        <v>4.5</v>
      </c>
      <c r="E470" s="2">
        <v>6679</v>
      </c>
      <c r="F470" s="2">
        <v>105</v>
      </c>
      <c r="G470" s="2" t="str">
        <f t="shared" si="22"/>
        <v>High Price</v>
      </c>
      <c r="H470" s="2">
        <v>2014</v>
      </c>
      <c r="I470" s="1" t="s">
        <v>9</v>
      </c>
      <c r="J470" s="5" t="str">
        <f t="shared" si="23"/>
        <v>Excellent</v>
      </c>
    </row>
    <row r="471" spans="1:10" ht="14.4" x14ac:dyDescent="0.3">
      <c r="A471" s="1" t="s">
        <v>121</v>
      </c>
      <c r="B471" s="1" t="str">
        <f t="shared" si="21"/>
        <v>Divergent</v>
      </c>
      <c r="C471" s="1" t="s">
        <v>47</v>
      </c>
      <c r="D471" s="2">
        <v>4.5</v>
      </c>
      <c r="E471" s="2">
        <v>17684</v>
      </c>
      <c r="F471" s="2">
        <v>6</v>
      </c>
      <c r="G471" s="2" t="str">
        <f t="shared" si="22"/>
        <v>Normal Price</v>
      </c>
      <c r="H471" s="2">
        <v>2014</v>
      </c>
      <c r="I471" s="1" t="s">
        <v>12</v>
      </c>
      <c r="J471" s="5" t="str">
        <f t="shared" si="23"/>
        <v>Excellent</v>
      </c>
    </row>
    <row r="472" spans="1:10" ht="14.4" x14ac:dyDescent="0.3">
      <c r="A472" s="1" t="s">
        <v>266</v>
      </c>
      <c r="B472" s="1" t="str">
        <f t="shared" si="21"/>
        <v>Knock-Knock</v>
      </c>
      <c r="C472" s="1" t="s">
        <v>267</v>
      </c>
      <c r="D472" s="2">
        <v>4.5</v>
      </c>
      <c r="E472" s="2">
        <v>3673</v>
      </c>
      <c r="F472" s="2">
        <v>4</v>
      </c>
      <c r="G472" s="2" t="str">
        <f t="shared" si="22"/>
        <v>Normal Price</v>
      </c>
      <c r="H472" s="2">
        <v>2014</v>
      </c>
      <c r="I472" s="1" t="s">
        <v>9</v>
      </c>
      <c r="J472" s="5" t="str">
        <f t="shared" si="23"/>
        <v>Excellent</v>
      </c>
    </row>
    <row r="473" spans="1:10" ht="14.4" x14ac:dyDescent="0.3">
      <c r="A473" s="1" t="s">
        <v>287</v>
      </c>
      <c r="B473" s="1" t="str">
        <f t="shared" si="21"/>
        <v>Looking</v>
      </c>
      <c r="C473" s="1" t="s">
        <v>288</v>
      </c>
      <c r="D473" s="2">
        <v>4.5</v>
      </c>
      <c r="E473" s="2">
        <v>8491</v>
      </c>
      <c r="F473" s="2">
        <v>7</v>
      </c>
      <c r="G473" s="2" t="str">
        <f t="shared" si="22"/>
        <v>Normal Price</v>
      </c>
      <c r="H473" s="2">
        <v>2014</v>
      </c>
      <c r="I473" s="1" t="s">
        <v>12</v>
      </c>
      <c r="J473" s="5" t="str">
        <f t="shared" si="23"/>
        <v>Excellent</v>
      </c>
    </row>
    <row r="474" spans="1:10" ht="14.4" x14ac:dyDescent="0.3">
      <c r="A474" s="1" t="s">
        <v>294</v>
      </c>
      <c r="B474" s="1" t="str">
        <f t="shared" si="21"/>
        <v>Make</v>
      </c>
      <c r="C474" s="1" t="s">
        <v>63</v>
      </c>
      <c r="D474" s="2">
        <v>4.5</v>
      </c>
      <c r="E474" s="2">
        <v>1386</v>
      </c>
      <c r="F474" s="2">
        <v>20</v>
      </c>
      <c r="G474" s="2" t="str">
        <f t="shared" si="22"/>
        <v>High Price</v>
      </c>
      <c r="H474" s="2">
        <v>2014</v>
      </c>
      <c r="I474" s="1" t="s">
        <v>9</v>
      </c>
      <c r="J474" s="5" t="str">
        <f t="shared" si="23"/>
        <v>Excellent</v>
      </c>
    </row>
    <row r="475" spans="1:10" ht="14.4" x14ac:dyDescent="0.3">
      <c r="A475" s="1" t="s">
        <v>338</v>
      </c>
      <c r="B475" s="1" t="str">
        <f t="shared" si="21"/>
        <v>Publication</v>
      </c>
      <c r="C475" s="1" t="s">
        <v>339</v>
      </c>
      <c r="D475" s="2">
        <v>4.5</v>
      </c>
      <c r="E475" s="2">
        <v>8580</v>
      </c>
      <c r="F475" s="2">
        <v>46</v>
      </c>
      <c r="G475" s="2" t="str">
        <f t="shared" si="22"/>
        <v>High Price</v>
      </c>
      <c r="H475" s="2">
        <v>2014</v>
      </c>
      <c r="I475" s="1" t="s">
        <v>9</v>
      </c>
      <c r="J475" s="5" t="str">
        <f t="shared" si="23"/>
        <v>Excellent</v>
      </c>
    </row>
    <row r="476" spans="1:10" ht="14.4" x14ac:dyDescent="0.3">
      <c r="A476" s="1" t="s">
        <v>485</v>
      </c>
      <c r="B476" s="1" t="str">
        <f t="shared" si="21"/>
        <v>The</v>
      </c>
      <c r="C476" s="1" t="s">
        <v>486</v>
      </c>
      <c r="D476" s="2">
        <v>4.5</v>
      </c>
      <c r="E476" s="2">
        <v>10101</v>
      </c>
      <c r="F476" s="2">
        <v>8</v>
      </c>
      <c r="G476" s="2" t="str">
        <f t="shared" si="22"/>
        <v>Normal Price</v>
      </c>
      <c r="H476" s="2">
        <v>2014</v>
      </c>
      <c r="I476" s="1" t="s">
        <v>12</v>
      </c>
      <c r="J476" s="5" t="str">
        <f t="shared" si="23"/>
        <v>Excellent</v>
      </c>
    </row>
    <row r="477" spans="1:10" ht="14.4" x14ac:dyDescent="0.3">
      <c r="A477" s="1" t="s">
        <v>565</v>
      </c>
      <c r="B477" s="1" t="str">
        <f t="shared" si="21"/>
        <v>Ultimate</v>
      </c>
      <c r="C477" s="1" t="s">
        <v>59</v>
      </c>
      <c r="D477" s="2">
        <v>4.5</v>
      </c>
      <c r="E477" s="2">
        <v>2586</v>
      </c>
      <c r="F477" s="2">
        <v>5</v>
      </c>
      <c r="G477" s="2" t="str">
        <f t="shared" si="22"/>
        <v>Normal Price</v>
      </c>
      <c r="H477" s="2">
        <v>2014</v>
      </c>
      <c r="I477" s="1" t="s">
        <v>12</v>
      </c>
      <c r="J477" s="5" t="str">
        <f t="shared" si="23"/>
        <v>Excellent</v>
      </c>
    </row>
    <row r="478" spans="1:10" ht="14.4" x14ac:dyDescent="0.3">
      <c r="A478" s="1" t="s">
        <v>40</v>
      </c>
      <c r="B478" s="1" t="str">
        <f t="shared" si="21"/>
        <v>Adult</v>
      </c>
      <c r="C478" s="1" t="s">
        <v>41</v>
      </c>
      <c r="D478" s="2">
        <v>4.5</v>
      </c>
      <c r="E478" s="2">
        <v>2426</v>
      </c>
      <c r="F478" s="2">
        <v>8</v>
      </c>
      <c r="G478" s="2" t="str">
        <f t="shared" si="22"/>
        <v>Normal Price</v>
      </c>
      <c r="H478" s="2">
        <v>2015</v>
      </c>
      <c r="I478" s="1" t="s">
        <v>9</v>
      </c>
      <c r="J478" s="5" t="str">
        <f t="shared" si="23"/>
        <v>Excellent</v>
      </c>
    </row>
    <row r="479" spans="1:10" ht="14.4" x14ac:dyDescent="0.3">
      <c r="A479" s="1" t="s">
        <v>266</v>
      </c>
      <c r="B479" s="1" t="str">
        <f t="shared" si="21"/>
        <v>Knock-Knock</v>
      </c>
      <c r="C479" s="1" t="s">
        <v>267</v>
      </c>
      <c r="D479" s="2">
        <v>4.5</v>
      </c>
      <c r="E479" s="2">
        <v>3673</v>
      </c>
      <c r="F479" s="2">
        <v>4</v>
      </c>
      <c r="G479" s="2" t="str">
        <f t="shared" si="22"/>
        <v>Normal Price</v>
      </c>
      <c r="H479" s="2">
        <v>2015</v>
      </c>
      <c r="I479" s="1" t="s">
        <v>9</v>
      </c>
      <c r="J479" s="5" t="str">
        <f t="shared" si="23"/>
        <v>Excellent</v>
      </c>
    </row>
    <row r="480" spans="1:10" ht="14.4" x14ac:dyDescent="0.3">
      <c r="A480" s="1" t="s">
        <v>338</v>
      </c>
      <c r="B480" s="1" t="str">
        <f t="shared" si="21"/>
        <v>Publication</v>
      </c>
      <c r="C480" s="1" t="s">
        <v>339</v>
      </c>
      <c r="D480" s="2">
        <v>4.5</v>
      </c>
      <c r="E480" s="2">
        <v>8580</v>
      </c>
      <c r="F480" s="2">
        <v>46</v>
      </c>
      <c r="G480" s="2" t="str">
        <f t="shared" si="22"/>
        <v>High Price</v>
      </c>
      <c r="H480" s="2">
        <v>2015</v>
      </c>
      <c r="I480" s="1" t="s">
        <v>9</v>
      </c>
      <c r="J480" s="5" t="str">
        <f t="shared" si="23"/>
        <v>Excellent</v>
      </c>
    </row>
    <row r="481" spans="1:10" ht="14.4" x14ac:dyDescent="0.3">
      <c r="A481" s="1" t="s">
        <v>473</v>
      </c>
      <c r="B481" s="1" t="str">
        <f t="shared" si="21"/>
        <v>The</v>
      </c>
      <c r="C481" s="1" t="s">
        <v>474</v>
      </c>
      <c r="D481" s="2">
        <v>4.5</v>
      </c>
      <c r="E481" s="2">
        <v>22641</v>
      </c>
      <c r="F481" s="2">
        <v>11</v>
      </c>
      <c r="G481" s="2" t="str">
        <f t="shared" si="22"/>
        <v>High Price</v>
      </c>
      <c r="H481" s="2">
        <v>2015</v>
      </c>
      <c r="I481" s="1" t="s">
        <v>9</v>
      </c>
      <c r="J481" s="5" t="str">
        <f t="shared" si="23"/>
        <v>Excellent</v>
      </c>
    </row>
    <row r="482" spans="1:10" ht="14.4" x14ac:dyDescent="0.3">
      <c r="A482" s="1" t="s">
        <v>35</v>
      </c>
      <c r="B482" s="1" t="str">
        <f t="shared" si="21"/>
        <v>Adult</v>
      </c>
      <c r="C482" s="1" t="s">
        <v>36</v>
      </c>
      <c r="D482" s="2">
        <v>4.5</v>
      </c>
      <c r="E482" s="2">
        <v>2313</v>
      </c>
      <c r="F482" s="2">
        <v>4</v>
      </c>
      <c r="G482" s="2" t="str">
        <f t="shared" si="22"/>
        <v>Normal Price</v>
      </c>
      <c r="H482" s="2">
        <v>2016</v>
      </c>
      <c r="I482" s="1" t="s">
        <v>9</v>
      </c>
      <c r="J482" s="5" t="str">
        <f t="shared" si="23"/>
        <v>Excellent</v>
      </c>
    </row>
    <row r="483" spans="1:10" ht="14.4" x14ac:dyDescent="0.3">
      <c r="A483" s="1" t="s">
        <v>338</v>
      </c>
      <c r="B483" s="1" t="str">
        <f t="shared" si="21"/>
        <v>Publication</v>
      </c>
      <c r="C483" s="1" t="s">
        <v>339</v>
      </c>
      <c r="D483" s="2">
        <v>4.5</v>
      </c>
      <c r="E483" s="2">
        <v>8580</v>
      </c>
      <c r="F483" s="2">
        <v>46</v>
      </c>
      <c r="G483" s="2" t="str">
        <f t="shared" si="22"/>
        <v>High Price</v>
      </c>
      <c r="H483" s="2">
        <v>2016</v>
      </c>
      <c r="I483" s="1" t="s">
        <v>9</v>
      </c>
      <c r="J483" s="5" t="str">
        <f t="shared" si="23"/>
        <v>Excellent</v>
      </c>
    </row>
    <row r="484" spans="1:10" ht="14.4" x14ac:dyDescent="0.3">
      <c r="A484" s="1" t="s">
        <v>473</v>
      </c>
      <c r="B484" s="1" t="str">
        <f t="shared" si="21"/>
        <v>The</v>
      </c>
      <c r="C484" s="1" t="s">
        <v>474</v>
      </c>
      <c r="D484" s="2">
        <v>4.5</v>
      </c>
      <c r="E484" s="2">
        <v>22641</v>
      </c>
      <c r="F484" s="2">
        <v>11</v>
      </c>
      <c r="G484" s="2" t="str">
        <f t="shared" si="22"/>
        <v>High Price</v>
      </c>
      <c r="H484" s="2">
        <v>2016</v>
      </c>
      <c r="I484" s="1" t="s">
        <v>9</v>
      </c>
      <c r="J484" s="5" t="str">
        <f t="shared" si="23"/>
        <v>Excellent</v>
      </c>
    </row>
    <row r="485" spans="1:10" ht="14.4" x14ac:dyDescent="0.3">
      <c r="A485" s="1" t="s">
        <v>273</v>
      </c>
      <c r="B485" s="1" t="str">
        <f t="shared" si="21"/>
        <v>Leonardo</v>
      </c>
      <c r="C485" s="1" t="s">
        <v>274</v>
      </c>
      <c r="D485" s="2">
        <v>4.5</v>
      </c>
      <c r="E485" s="2">
        <v>3014</v>
      </c>
      <c r="F485" s="2">
        <v>21</v>
      </c>
      <c r="G485" s="2" t="str">
        <f t="shared" si="22"/>
        <v>High Price</v>
      </c>
      <c r="H485" s="2">
        <v>2017</v>
      </c>
      <c r="I485" s="1" t="s">
        <v>9</v>
      </c>
      <c r="J485" s="5" t="str">
        <f t="shared" si="23"/>
        <v>Excellent</v>
      </c>
    </row>
    <row r="486" spans="1:10" ht="14.4" x14ac:dyDescent="0.3">
      <c r="A486" s="1" t="s">
        <v>324</v>
      </c>
      <c r="B486" s="1" t="str">
        <f t="shared" si="21"/>
        <v>Option</v>
      </c>
      <c r="C486" s="1" t="s">
        <v>272</v>
      </c>
      <c r="D486" s="2">
        <v>4.5</v>
      </c>
      <c r="E486" s="2">
        <v>1831</v>
      </c>
      <c r="F486" s="2">
        <v>9</v>
      </c>
      <c r="G486" s="2" t="str">
        <f t="shared" si="22"/>
        <v>Normal Price</v>
      </c>
      <c r="H486" s="2">
        <v>2017</v>
      </c>
      <c r="I486" s="1" t="s">
        <v>9</v>
      </c>
      <c r="J486" s="5" t="str">
        <f t="shared" si="23"/>
        <v>Excellent</v>
      </c>
    </row>
    <row r="487" spans="1:10" ht="14.4" x14ac:dyDescent="0.3">
      <c r="A487" s="1" t="s">
        <v>338</v>
      </c>
      <c r="B487" s="1" t="str">
        <f t="shared" si="21"/>
        <v>Publication</v>
      </c>
      <c r="C487" s="1" t="s">
        <v>339</v>
      </c>
      <c r="D487" s="2">
        <v>4.5</v>
      </c>
      <c r="E487" s="2">
        <v>8580</v>
      </c>
      <c r="F487" s="2">
        <v>46</v>
      </c>
      <c r="G487" s="2" t="str">
        <f t="shared" si="22"/>
        <v>High Price</v>
      </c>
      <c r="H487" s="2">
        <v>2017</v>
      </c>
      <c r="I487" s="1" t="s">
        <v>9</v>
      </c>
      <c r="J487" s="5" t="str">
        <f t="shared" si="23"/>
        <v>Excellent</v>
      </c>
    </row>
    <row r="488" spans="1:10" ht="14.4" x14ac:dyDescent="0.3">
      <c r="A488" s="1" t="s">
        <v>473</v>
      </c>
      <c r="B488" s="1" t="str">
        <f t="shared" si="21"/>
        <v>The</v>
      </c>
      <c r="C488" s="1" t="s">
        <v>474</v>
      </c>
      <c r="D488" s="2">
        <v>4.5</v>
      </c>
      <c r="E488" s="2">
        <v>22641</v>
      </c>
      <c r="F488" s="2">
        <v>11</v>
      </c>
      <c r="G488" s="2" t="str">
        <f t="shared" si="22"/>
        <v>High Price</v>
      </c>
      <c r="H488" s="2">
        <v>2017</v>
      </c>
      <c r="I488" s="1" t="s">
        <v>9</v>
      </c>
      <c r="J488" s="5" t="str">
        <f t="shared" si="23"/>
        <v>Excellent</v>
      </c>
    </row>
    <row r="489" spans="1:10" ht="14.4" x14ac:dyDescent="0.3">
      <c r="A489" s="1" t="s">
        <v>548</v>
      </c>
      <c r="B489" s="1" t="str">
        <f t="shared" si="21"/>
        <v>Thirteen</v>
      </c>
      <c r="C489" s="1" t="s">
        <v>549</v>
      </c>
      <c r="D489" s="2">
        <v>4.5</v>
      </c>
      <c r="E489" s="2">
        <v>7932</v>
      </c>
      <c r="F489" s="2">
        <v>9</v>
      </c>
      <c r="G489" s="2" t="str">
        <f t="shared" si="22"/>
        <v>Normal Price</v>
      </c>
      <c r="H489" s="2">
        <v>2017</v>
      </c>
      <c r="I489" s="1" t="s">
        <v>12</v>
      </c>
      <c r="J489" s="5" t="str">
        <f t="shared" si="23"/>
        <v>Excellent</v>
      </c>
    </row>
    <row r="490" spans="1:10" ht="14.4" x14ac:dyDescent="0.3">
      <c r="A490" s="1" t="s">
        <v>32</v>
      </c>
      <c r="B490" s="1" t="str">
        <f t="shared" si="21"/>
        <v>A</v>
      </c>
      <c r="C490" s="1" t="s">
        <v>33</v>
      </c>
      <c r="D490" s="2">
        <v>4.5</v>
      </c>
      <c r="E490" s="2">
        <v>5153</v>
      </c>
      <c r="F490" s="2">
        <v>5</v>
      </c>
      <c r="G490" s="2" t="str">
        <f t="shared" si="22"/>
        <v>Normal Price</v>
      </c>
      <c r="H490" s="2">
        <v>2018</v>
      </c>
      <c r="I490" s="1" t="s">
        <v>12</v>
      </c>
      <c r="J490" s="5" t="str">
        <f t="shared" si="23"/>
        <v>Excellent</v>
      </c>
    </row>
    <row r="491" spans="1:10" ht="14.4" x14ac:dyDescent="0.3">
      <c r="A491" s="1" t="s">
        <v>285</v>
      </c>
      <c r="B491" s="1" t="str">
        <f t="shared" si="21"/>
        <v>Little</v>
      </c>
      <c r="C491" s="1" t="s">
        <v>286</v>
      </c>
      <c r="D491" s="2">
        <v>4.5</v>
      </c>
      <c r="E491" s="2">
        <v>25706</v>
      </c>
      <c r="F491" s="2">
        <v>12</v>
      </c>
      <c r="G491" s="2" t="str">
        <f t="shared" si="22"/>
        <v>High Price</v>
      </c>
      <c r="H491" s="2">
        <v>2018</v>
      </c>
      <c r="I491" s="1" t="s">
        <v>12</v>
      </c>
      <c r="J491" s="5" t="str">
        <f t="shared" si="23"/>
        <v>Excellent</v>
      </c>
    </row>
    <row r="492" spans="1:10" ht="14.4" x14ac:dyDescent="0.3">
      <c r="A492" s="1" t="s">
        <v>338</v>
      </c>
      <c r="B492" s="1" t="str">
        <f t="shared" si="21"/>
        <v>Publication</v>
      </c>
      <c r="C492" s="1" t="s">
        <v>339</v>
      </c>
      <c r="D492" s="2">
        <v>4.5</v>
      </c>
      <c r="E492" s="2">
        <v>8580</v>
      </c>
      <c r="F492" s="2">
        <v>46</v>
      </c>
      <c r="G492" s="2" t="str">
        <f t="shared" si="22"/>
        <v>High Price</v>
      </c>
      <c r="H492" s="2">
        <v>2018</v>
      </c>
      <c r="I492" s="1" t="s">
        <v>9</v>
      </c>
      <c r="J492" s="5" t="str">
        <f t="shared" si="23"/>
        <v>Excellent</v>
      </c>
    </row>
    <row r="493" spans="1:10" ht="14.4" x14ac:dyDescent="0.3">
      <c r="A493" s="1" t="s">
        <v>501</v>
      </c>
      <c r="B493" s="1" t="str">
        <f t="shared" si="21"/>
        <v>The</v>
      </c>
      <c r="C493" s="1" t="s">
        <v>502</v>
      </c>
      <c r="D493" s="2">
        <v>4.5</v>
      </c>
      <c r="E493" s="2">
        <v>3601</v>
      </c>
      <c r="F493" s="2">
        <v>18</v>
      </c>
      <c r="G493" s="2" t="str">
        <f t="shared" si="22"/>
        <v>High Price</v>
      </c>
      <c r="H493" s="2">
        <v>2018</v>
      </c>
      <c r="I493" s="1" t="s">
        <v>9</v>
      </c>
      <c r="J493" s="5" t="str">
        <f t="shared" si="23"/>
        <v>Excellent</v>
      </c>
    </row>
    <row r="494" spans="1:10" ht="14.4" x14ac:dyDescent="0.3">
      <c r="A494" s="1" t="s">
        <v>447</v>
      </c>
      <c r="B494" s="1" t="str">
        <f t="shared" si="21"/>
        <v>The</v>
      </c>
      <c r="C494" s="1" t="s">
        <v>376</v>
      </c>
      <c r="D494" s="2">
        <v>4.5</v>
      </c>
      <c r="E494" s="2">
        <v>13609</v>
      </c>
      <c r="F494" s="2">
        <v>14</v>
      </c>
      <c r="G494" s="2" t="str">
        <f t="shared" si="22"/>
        <v>High Price</v>
      </c>
      <c r="H494" s="2">
        <v>2019</v>
      </c>
      <c r="I494" s="1" t="s">
        <v>12</v>
      </c>
      <c r="J494" s="5" t="str">
        <f t="shared" si="23"/>
        <v>Excellent</v>
      </c>
    </row>
    <row r="495" spans="1:10" ht="14.4" x14ac:dyDescent="0.3">
      <c r="A495" s="1" t="s">
        <v>473</v>
      </c>
      <c r="B495" s="1" t="str">
        <f t="shared" si="21"/>
        <v>The</v>
      </c>
      <c r="C495" s="1" t="s">
        <v>474</v>
      </c>
      <c r="D495" s="2">
        <v>4.5</v>
      </c>
      <c r="E495" s="2">
        <v>22641</v>
      </c>
      <c r="F495" s="2">
        <v>11</v>
      </c>
      <c r="G495" s="2" t="str">
        <f t="shared" si="22"/>
        <v>High Price</v>
      </c>
      <c r="H495" s="2">
        <v>2019</v>
      </c>
      <c r="I495" s="1" t="s">
        <v>9</v>
      </c>
      <c r="J495" s="5" t="str">
        <f t="shared" si="23"/>
        <v>Excellent</v>
      </c>
    </row>
    <row r="496" spans="1:10" ht="14.4" x14ac:dyDescent="0.3">
      <c r="A496" s="1" t="s">
        <v>517</v>
      </c>
      <c r="B496" s="1" t="str">
        <f t="shared" si="21"/>
        <v>The</v>
      </c>
      <c r="C496" s="1" t="s">
        <v>518</v>
      </c>
      <c r="D496" s="2">
        <v>4.5</v>
      </c>
      <c r="E496" s="2">
        <v>27536</v>
      </c>
      <c r="F496" s="2">
        <v>14</v>
      </c>
      <c r="G496" s="2" t="str">
        <f t="shared" si="22"/>
        <v>High Price</v>
      </c>
      <c r="H496" s="2">
        <v>2019</v>
      </c>
      <c r="I496" s="1" t="s">
        <v>12</v>
      </c>
      <c r="J496" s="5" t="str">
        <f t="shared" si="23"/>
        <v>Excellent</v>
      </c>
    </row>
    <row r="497" spans="1:10" ht="13.2" x14ac:dyDescent="0.25">
      <c r="A497" s="3" t="s">
        <v>237</v>
      </c>
      <c r="B497" s="3" t="str">
        <f t="shared" si="21"/>
        <v>If</v>
      </c>
      <c r="C497" s="3" t="s">
        <v>238</v>
      </c>
      <c r="D497" s="3">
        <v>4.5</v>
      </c>
      <c r="E497" s="3">
        <v>39063</v>
      </c>
      <c r="F497" s="3">
        <v>4</v>
      </c>
      <c r="G497" s="3" t="str">
        <f t="shared" si="22"/>
        <v>Normal Price</v>
      </c>
      <c r="H497" s="3">
        <v>2020</v>
      </c>
      <c r="I497" s="3" t="s">
        <v>12</v>
      </c>
      <c r="J497" s="5" t="str">
        <f t="shared" si="23"/>
        <v>Excellent</v>
      </c>
    </row>
    <row r="498" spans="1:10" ht="13.2" x14ac:dyDescent="0.25">
      <c r="A498" s="3" t="s">
        <v>285</v>
      </c>
      <c r="B498" s="3" t="str">
        <f t="shared" si="21"/>
        <v>Little</v>
      </c>
      <c r="C498" s="3" t="s">
        <v>286</v>
      </c>
      <c r="D498" s="3">
        <v>4.5</v>
      </c>
      <c r="E498" s="3">
        <v>43514</v>
      </c>
      <c r="F498" s="3">
        <v>10</v>
      </c>
      <c r="G498" s="3" t="str">
        <f t="shared" si="22"/>
        <v>Normal Price</v>
      </c>
      <c r="H498" s="3">
        <v>2020</v>
      </c>
      <c r="I498" s="3" t="s">
        <v>12</v>
      </c>
      <c r="J498" s="5" t="str">
        <f t="shared" si="23"/>
        <v>Excellent</v>
      </c>
    </row>
    <row r="499" spans="1:10" ht="13.2" x14ac:dyDescent="0.25">
      <c r="A499" s="3" t="s">
        <v>659</v>
      </c>
      <c r="B499" s="3" t="str">
        <f t="shared" si="21"/>
        <v>The</v>
      </c>
      <c r="C499" s="3" t="s">
        <v>518</v>
      </c>
      <c r="D499" s="4">
        <v>4.5</v>
      </c>
      <c r="E499" s="3">
        <v>61060</v>
      </c>
      <c r="F499" s="3">
        <v>15</v>
      </c>
      <c r="G499" s="3" t="str">
        <f t="shared" si="22"/>
        <v>High Price</v>
      </c>
      <c r="H499" s="3">
        <v>2020</v>
      </c>
      <c r="I499" s="3" t="s">
        <v>12</v>
      </c>
      <c r="J499" s="5" t="str">
        <f t="shared" si="23"/>
        <v>Excellent</v>
      </c>
    </row>
    <row r="500" spans="1:10" ht="14.4" x14ac:dyDescent="0.3">
      <c r="A500" s="1" t="s">
        <v>440</v>
      </c>
      <c r="B500" s="1" t="str">
        <f t="shared" si="21"/>
        <v>The</v>
      </c>
      <c r="C500" s="1" t="s">
        <v>437</v>
      </c>
      <c r="D500" s="2">
        <v>4.4000000000000004</v>
      </c>
      <c r="E500" s="2">
        <v>10559</v>
      </c>
      <c r="F500" s="2">
        <v>2</v>
      </c>
      <c r="G500" s="2" t="str">
        <f t="shared" si="22"/>
        <v>Normal Price</v>
      </c>
      <c r="H500" s="2">
        <v>2009</v>
      </c>
      <c r="I500" s="1" t="s">
        <v>12</v>
      </c>
      <c r="J500" s="5" t="str">
        <f t="shared" si="23"/>
        <v>Good</v>
      </c>
    </row>
    <row r="501" spans="1:10" ht="14.4" x14ac:dyDescent="0.3">
      <c r="A501" s="1" t="s">
        <v>525</v>
      </c>
      <c r="B501" s="1" t="str">
        <f t="shared" si="21"/>
        <v>The</v>
      </c>
      <c r="C501" s="1" t="s">
        <v>526</v>
      </c>
      <c r="D501" s="2">
        <v>4.4000000000000004</v>
      </c>
      <c r="E501" s="2">
        <v>3759</v>
      </c>
      <c r="F501" s="2">
        <v>6</v>
      </c>
      <c r="G501" s="2" t="str">
        <f t="shared" si="22"/>
        <v>Normal Price</v>
      </c>
      <c r="H501" s="2">
        <v>2009</v>
      </c>
      <c r="I501" s="1" t="s">
        <v>12</v>
      </c>
      <c r="J501" s="5" t="str">
        <f t="shared" si="23"/>
        <v>Good</v>
      </c>
    </row>
    <row r="502" spans="1:10" ht="14.4" x14ac:dyDescent="0.3">
      <c r="A502" s="1" t="s">
        <v>527</v>
      </c>
      <c r="B502" s="1" t="str">
        <f t="shared" si="21"/>
        <v>The</v>
      </c>
      <c r="C502" s="1" t="s">
        <v>102</v>
      </c>
      <c r="D502" s="2">
        <v>4.4000000000000004</v>
      </c>
      <c r="E502" s="2">
        <v>3503</v>
      </c>
      <c r="F502" s="2">
        <v>9</v>
      </c>
      <c r="G502" s="2" t="str">
        <f t="shared" si="22"/>
        <v>Normal Price</v>
      </c>
      <c r="H502" s="2">
        <v>2009</v>
      </c>
      <c r="I502" s="1" t="s">
        <v>9</v>
      </c>
      <c r="J502" s="5" t="str">
        <f t="shared" si="23"/>
        <v>Good</v>
      </c>
    </row>
    <row r="503" spans="1:10" ht="14.4" x14ac:dyDescent="0.3">
      <c r="A503" s="1" t="s">
        <v>164</v>
      </c>
      <c r="B503" s="1" t="str">
        <f t="shared" si="21"/>
        <v>Food</v>
      </c>
      <c r="C503" s="1" t="s">
        <v>165</v>
      </c>
      <c r="D503" s="2">
        <v>4.4000000000000004</v>
      </c>
      <c r="E503" s="2">
        <v>1555</v>
      </c>
      <c r="F503" s="2">
        <v>9</v>
      </c>
      <c r="G503" s="2" t="str">
        <f t="shared" si="22"/>
        <v>Normal Price</v>
      </c>
      <c r="H503" s="2">
        <v>2010</v>
      </c>
      <c r="I503" s="1" t="s">
        <v>9</v>
      </c>
      <c r="J503" s="5" t="str">
        <f t="shared" si="23"/>
        <v>Good</v>
      </c>
    </row>
    <row r="504" spans="1:10" ht="14.4" x14ac:dyDescent="0.3">
      <c r="A504" s="1" t="s">
        <v>168</v>
      </c>
      <c r="B504" s="1" t="str">
        <f t="shared" si="21"/>
        <v>Game</v>
      </c>
      <c r="C504" s="1" t="s">
        <v>169</v>
      </c>
      <c r="D504" s="2">
        <v>4.4000000000000004</v>
      </c>
      <c r="E504" s="2">
        <v>1215</v>
      </c>
      <c r="F504" s="2">
        <v>9</v>
      </c>
      <c r="G504" s="2" t="str">
        <f t="shared" si="22"/>
        <v>Normal Price</v>
      </c>
      <c r="H504" s="2">
        <v>2010</v>
      </c>
      <c r="I504" s="1" t="s">
        <v>9</v>
      </c>
      <c r="J504" s="5" t="str">
        <f t="shared" si="23"/>
        <v>Good</v>
      </c>
    </row>
    <row r="505" spans="1:10" ht="14.4" x14ac:dyDescent="0.3">
      <c r="A505" s="1" t="s">
        <v>377</v>
      </c>
      <c r="B505" s="1" t="str">
        <f t="shared" si="21"/>
        <v>Teach</v>
      </c>
      <c r="C505" s="1" t="s">
        <v>378</v>
      </c>
      <c r="D505" s="2">
        <v>4.4000000000000004</v>
      </c>
      <c r="E505" s="2">
        <v>637</v>
      </c>
      <c r="F505" s="2">
        <v>20</v>
      </c>
      <c r="G505" s="2" t="str">
        <f t="shared" si="22"/>
        <v>High Price</v>
      </c>
      <c r="H505" s="2">
        <v>2010</v>
      </c>
      <c r="I505" s="1" t="s">
        <v>9</v>
      </c>
      <c r="J505" s="5" t="str">
        <f t="shared" si="23"/>
        <v>Good</v>
      </c>
    </row>
    <row r="506" spans="1:10" ht="14.4" x14ac:dyDescent="0.3">
      <c r="A506" s="1" t="s">
        <v>419</v>
      </c>
      <c r="B506" s="1" t="str">
        <f t="shared" si="21"/>
        <v>The</v>
      </c>
      <c r="C506" s="1" t="s">
        <v>420</v>
      </c>
      <c r="D506" s="2">
        <v>4.4000000000000004</v>
      </c>
      <c r="E506" s="2">
        <v>440</v>
      </c>
      <c r="F506" s="2">
        <v>11</v>
      </c>
      <c r="G506" s="2" t="str">
        <f t="shared" si="22"/>
        <v>High Price</v>
      </c>
      <c r="H506" s="2">
        <v>2010</v>
      </c>
      <c r="I506" s="1" t="s">
        <v>9</v>
      </c>
      <c r="J506" s="5" t="str">
        <f t="shared" si="23"/>
        <v>Good</v>
      </c>
    </row>
    <row r="507" spans="1:10" ht="14.4" x14ac:dyDescent="0.3">
      <c r="A507" s="1" t="s">
        <v>440</v>
      </c>
      <c r="B507" s="1" t="str">
        <f t="shared" si="21"/>
        <v>The</v>
      </c>
      <c r="C507" s="1" t="s">
        <v>437</v>
      </c>
      <c r="D507" s="2">
        <v>4.4000000000000004</v>
      </c>
      <c r="E507" s="2">
        <v>10559</v>
      </c>
      <c r="F507" s="2">
        <v>2</v>
      </c>
      <c r="G507" s="2" t="str">
        <f t="shared" si="22"/>
        <v>Normal Price</v>
      </c>
      <c r="H507" s="2">
        <v>2010</v>
      </c>
      <c r="I507" s="1" t="s">
        <v>12</v>
      </c>
      <c r="J507" s="5" t="str">
        <f t="shared" si="23"/>
        <v>Good</v>
      </c>
    </row>
    <row r="508" spans="1:10" ht="14.4" x14ac:dyDescent="0.3">
      <c r="A508" s="1" t="s">
        <v>492</v>
      </c>
      <c r="B508" s="1" t="str">
        <f t="shared" si="21"/>
        <v>The</v>
      </c>
      <c r="C508" s="1" t="s">
        <v>493</v>
      </c>
      <c r="D508" s="2">
        <v>4.4000000000000004</v>
      </c>
      <c r="E508" s="2">
        <v>1201</v>
      </c>
      <c r="F508" s="2">
        <v>40</v>
      </c>
      <c r="G508" s="2" t="str">
        <f t="shared" si="22"/>
        <v>High Price</v>
      </c>
      <c r="H508" s="2">
        <v>2010</v>
      </c>
      <c r="I508" s="1" t="s">
        <v>9</v>
      </c>
      <c r="J508" s="5" t="str">
        <f t="shared" si="23"/>
        <v>Good</v>
      </c>
    </row>
    <row r="509" spans="1:10" ht="14.4" x14ac:dyDescent="0.3">
      <c r="A509" s="1" t="s">
        <v>19</v>
      </c>
      <c r="B509" s="1" t="str">
        <f t="shared" si="21"/>
        <v>A</v>
      </c>
      <c r="C509" s="1" t="s">
        <v>20</v>
      </c>
      <c r="D509" s="2">
        <v>4.4000000000000004</v>
      </c>
      <c r="E509" s="2">
        <v>12643</v>
      </c>
      <c r="F509" s="2">
        <v>11</v>
      </c>
      <c r="G509" s="2" t="str">
        <f t="shared" si="22"/>
        <v>High Price</v>
      </c>
      <c r="H509" s="2">
        <v>2011</v>
      </c>
      <c r="I509" s="1" t="s">
        <v>12</v>
      </c>
      <c r="J509" s="5" t="str">
        <f t="shared" si="23"/>
        <v>Good</v>
      </c>
    </row>
    <row r="510" spans="1:10" ht="14.4" x14ac:dyDescent="0.3">
      <c r="A510" s="1" t="s">
        <v>241</v>
      </c>
      <c r="B510" s="1" t="str">
        <f t="shared" si="21"/>
        <v>In</v>
      </c>
      <c r="C510" s="1" t="s">
        <v>242</v>
      </c>
      <c r="D510" s="2">
        <v>4.4000000000000004</v>
      </c>
      <c r="E510" s="2">
        <v>4571</v>
      </c>
      <c r="F510" s="2">
        <v>21</v>
      </c>
      <c r="G510" s="2" t="str">
        <f t="shared" si="22"/>
        <v>High Price</v>
      </c>
      <c r="H510" s="2">
        <v>2011</v>
      </c>
      <c r="I510" s="1" t="s">
        <v>9</v>
      </c>
      <c r="J510" s="5" t="str">
        <f t="shared" si="23"/>
        <v>Good</v>
      </c>
    </row>
    <row r="511" spans="1:10" ht="14.4" x14ac:dyDescent="0.3">
      <c r="A511" s="1" t="s">
        <v>377</v>
      </c>
      <c r="B511" s="1" t="str">
        <f t="shared" si="21"/>
        <v>Teach</v>
      </c>
      <c r="C511" s="1" t="s">
        <v>378</v>
      </c>
      <c r="D511" s="2">
        <v>4.4000000000000004</v>
      </c>
      <c r="E511" s="2">
        <v>637</v>
      </c>
      <c r="F511" s="2">
        <v>20</v>
      </c>
      <c r="G511" s="2" t="str">
        <f t="shared" si="22"/>
        <v>High Price</v>
      </c>
      <c r="H511" s="2">
        <v>2011</v>
      </c>
      <c r="I511" s="1" t="s">
        <v>9</v>
      </c>
      <c r="J511" s="5" t="str">
        <f t="shared" si="23"/>
        <v>Good</v>
      </c>
    </row>
    <row r="512" spans="1:10" ht="14.4" x14ac:dyDescent="0.3">
      <c r="A512" s="1" t="s">
        <v>471</v>
      </c>
      <c r="B512" s="1" t="str">
        <f t="shared" si="21"/>
        <v>The</v>
      </c>
      <c r="C512" s="1" t="s">
        <v>472</v>
      </c>
      <c r="D512" s="2">
        <v>4.4000000000000004</v>
      </c>
      <c r="E512" s="2">
        <v>4247</v>
      </c>
      <c r="F512" s="2">
        <v>13</v>
      </c>
      <c r="G512" s="2" t="str">
        <f t="shared" si="22"/>
        <v>High Price</v>
      </c>
      <c r="H512" s="2">
        <v>2011</v>
      </c>
      <c r="I512" s="1" t="s">
        <v>9</v>
      </c>
      <c r="J512" s="5" t="str">
        <f t="shared" si="23"/>
        <v>Good</v>
      </c>
    </row>
    <row r="513" spans="1:10" ht="14.4" x14ac:dyDescent="0.3">
      <c r="A513" s="1" t="s">
        <v>475</v>
      </c>
      <c r="B513" s="1" t="str">
        <f t="shared" si="21"/>
        <v>The</v>
      </c>
      <c r="C513" s="1" t="s">
        <v>376</v>
      </c>
      <c r="D513" s="2">
        <v>4.4000000000000004</v>
      </c>
      <c r="E513" s="2">
        <v>6222</v>
      </c>
      <c r="F513" s="2">
        <v>18</v>
      </c>
      <c r="G513" s="2" t="str">
        <f t="shared" si="22"/>
        <v>High Price</v>
      </c>
      <c r="H513" s="2">
        <v>2011</v>
      </c>
      <c r="I513" s="1" t="s">
        <v>12</v>
      </c>
      <c r="J513" s="5" t="str">
        <f t="shared" si="23"/>
        <v>Good</v>
      </c>
    </row>
    <row r="514" spans="1:10" ht="14.4" x14ac:dyDescent="0.3">
      <c r="A514" s="1" t="s">
        <v>492</v>
      </c>
      <c r="B514" s="1" t="str">
        <f t="shared" ref="B514:B577" si="24">LEFT(A514,FIND(" ",A514&amp;" ")-1)</f>
        <v>The</v>
      </c>
      <c r="C514" s="1" t="s">
        <v>493</v>
      </c>
      <c r="D514" s="2">
        <v>4.4000000000000004</v>
      </c>
      <c r="E514" s="2">
        <v>1201</v>
      </c>
      <c r="F514" s="2">
        <v>40</v>
      </c>
      <c r="G514" s="2" t="str">
        <f t="shared" ref="G514:G577" si="25">IF(F514&gt;10,"High Price","Normal Price")</f>
        <v>High Price</v>
      </c>
      <c r="H514" s="2">
        <v>2011</v>
      </c>
      <c r="I514" s="1" t="s">
        <v>9</v>
      </c>
      <c r="J514" s="5" t="str">
        <f t="shared" ref="J514:J577" si="26">IF(D514&gt;=4.5,"Excellent",IF(D514&gt;=4,"Good","Average"))</f>
        <v>Good</v>
      </c>
    </row>
    <row r="515" spans="1:10" ht="14.4" x14ac:dyDescent="0.3">
      <c r="A515" s="1" t="s">
        <v>584</v>
      </c>
      <c r="B515" s="1" t="str">
        <f t="shared" si="24"/>
        <v>What</v>
      </c>
      <c r="C515" s="1" t="s">
        <v>585</v>
      </c>
      <c r="D515" s="2">
        <v>4.4000000000000004</v>
      </c>
      <c r="E515" s="2">
        <v>3341</v>
      </c>
      <c r="F515" s="2">
        <v>9</v>
      </c>
      <c r="G515" s="2" t="str">
        <f t="shared" si="25"/>
        <v>Normal Price</v>
      </c>
      <c r="H515" s="2">
        <v>2011</v>
      </c>
      <c r="I515" s="1" t="s">
        <v>9</v>
      </c>
      <c r="J515" s="5" t="str">
        <f t="shared" si="26"/>
        <v>Good</v>
      </c>
    </row>
    <row r="516" spans="1:10" ht="14.4" x14ac:dyDescent="0.3">
      <c r="A516" s="1" t="s">
        <v>155</v>
      </c>
      <c r="B516" s="1" t="str">
        <f t="shared" si="24"/>
        <v>Fifty</v>
      </c>
      <c r="C516" s="1" t="s">
        <v>156</v>
      </c>
      <c r="D516" s="2">
        <v>4.4000000000000004</v>
      </c>
      <c r="E516" s="2">
        <v>23631</v>
      </c>
      <c r="F516" s="2">
        <v>7</v>
      </c>
      <c r="G516" s="2" t="str">
        <f t="shared" si="25"/>
        <v>Normal Price</v>
      </c>
      <c r="H516" s="2">
        <v>2012</v>
      </c>
      <c r="I516" s="1" t="s">
        <v>12</v>
      </c>
      <c r="J516" s="5" t="str">
        <f t="shared" si="26"/>
        <v>Good</v>
      </c>
    </row>
    <row r="517" spans="1:10" ht="14.4" x14ac:dyDescent="0.3">
      <c r="A517" s="1" t="s">
        <v>445</v>
      </c>
      <c r="B517" s="1" t="str">
        <f t="shared" si="24"/>
        <v>The</v>
      </c>
      <c r="C517" s="1" t="s">
        <v>446</v>
      </c>
      <c r="D517" s="2">
        <v>4.4000000000000004</v>
      </c>
      <c r="E517" s="2">
        <v>11616</v>
      </c>
      <c r="F517" s="2">
        <v>7</v>
      </c>
      <c r="G517" s="2" t="str">
        <f t="shared" si="25"/>
        <v>Normal Price</v>
      </c>
      <c r="H517" s="2">
        <v>2012</v>
      </c>
      <c r="I517" s="1" t="s">
        <v>12</v>
      </c>
      <c r="J517" s="5" t="str">
        <f t="shared" si="26"/>
        <v>Good</v>
      </c>
    </row>
    <row r="518" spans="1:10" ht="14.4" x14ac:dyDescent="0.3">
      <c r="A518" s="1" t="s">
        <v>471</v>
      </c>
      <c r="B518" s="1" t="str">
        <f t="shared" si="24"/>
        <v>The</v>
      </c>
      <c r="C518" s="1" t="s">
        <v>472</v>
      </c>
      <c r="D518" s="2">
        <v>4.4000000000000004</v>
      </c>
      <c r="E518" s="2">
        <v>4247</v>
      </c>
      <c r="F518" s="2">
        <v>13</v>
      </c>
      <c r="G518" s="2" t="str">
        <f t="shared" si="25"/>
        <v>High Price</v>
      </c>
      <c r="H518" s="2">
        <v>2012</v>
      </c>
      <c r="I518" s="1" t="s">
        <v>9</v>
      </c>
      <c r="J518" s="5" t="str">
        <f t="shared" si="26"/>
        <v>Good</v>
      </c>
    </row>
    <row r="519" spans="1:10" ht="14.4" x14ac:dyDescent="0.3">
      <c r="A519" s="1" t="s">
        <v>492</v>
      </c>
      <c r="B519" s="1" t="str">
        <f t="shared" si="24"/>
        <v>The</v>
      </c>
      <c r="C519" s="1" t="s">
        <v>493</v>
      </c>
      <c r="D519" s="2">
        <v>4.4000000000000004</v>
      </c>
      <c r="E519" s="2">
        <v>1201</v>
      </c>
      <c r="F519" s="2">
        <v>40</v>
      </c>
      <c r="G519" s="2" t="str">
        <f t="shared" si="25"/>
        <v>High Price</v>
      </c>
      <c r="H519" s="2">
        <v>2012</v>
      </c>
      <c r="I519" s="1" t="s">
        <v>9</v>
      </c>
      <c r="J519" s="5" t="str">
        <f t="shared" si="26"/>
        <v>Good</v>
      </c>
    </row>
    <row r="520" spans="1:10" ht="14.4" x14ac:dyDescent="0.3">
      <c r="A520" s="1" t="s">
        <v>586</v>
      </c>
      <c r="B520" s="1" t="str">
        <f t="shared" si="24"/>
        <v>Wheat</v>
      </c>
      <c r="C520" s="1" t="s">
        <v>587</v>
      </c>
      <c r="D520" s="2">
        <v>4.4000000000000004</v>
      </c>
      <c r="E520" s="2">
        <v>7497</v>
      </c>
      <c r="F520" s="2">
        <v>6</v>
      </c>
      <c r="G520" s="2" t="str">
        <f t="shared" si="25"/>
        <v>Normal Price</v>
      </c>
      <c r="H520" s="2">
        <v>2012</v>
      </c>
      <c r="I520" s="1" t="s">
        <v>9</v>
      </c>
      <c r="J520" s="5" t="str">
        <f t="shared" si="26"/>
        <v>Good</v>
      </c>
    </row>
    <row r="521" spans="1:10" ht="14.4" x14ac:dyDescent="0.3">
      <c r="A521" s="1" t="s">
        <v>596</v>
      </c>
      <c r="B521" s="1" t="str">
        <f t="shared" si="24"/>
        <v>Wild:</v>
      </c>
      <c r="C521" s="1" t="s">
        <v>597</v>
      </c>
      <c r="D521" s="2">
        <v>4.4000000000000004</v>
      </c>
      <c r="E521" s="2">
        <v>17044</v>
      </c>
      <c r="F521" s="2">
        <v>18</v>
      </c>
      <c r="G521" s="2" t="str">
        <f t="shared" si="25"/>
        <v>High Price</v>
      </c>
      <c r="H521" s="2">
        <v>2012</v>
      </c>
      <c r="I521" s="1" t="s">
        <v>9</v>
      </c>
      <c r="J521" s="5" t="str">
        <f t="shared" si="26"/>
        <v>Good</v>
      </c>
    </row>
    <row r="522" spans="1:10" ht="14.4" x14ac:dyDescent="0.3">
      <c r="A522" s="1" t="s">
        <v>101</v>
      </c>
      <c r="B522" s="1" t="str">
        <f t="shared" si="24"/>
        <v>David</v>
      </c>
      <c r="C522" s="1" t="s">
        <v>102</v>
      </c>
      <c r="D522" s="2">
        <v>4.4000000000000004</v>
      </c>
      <c r="E522" s="2">
        <v>4642</v>
      </c>
      <c r="F522" s="2">
        <v>13</v>
      </c>
      <c r="G522" s="2" t="str">
        <f t="shared" si="25"/>
        <v>High Price</v>
      </c>
      <c r="H522" s="2">
        <v>2013</v>
      </c>
      <c r="I522" s="1" t="s">
        <v>9</v>
      </c>
      <c r="J522" s="5" t="str">
        <f t="shared" si="26"/>
        <v>Good</v>
      </c>
    </row>
    <row r="523" spans="1:10" ht="14.4" x14ac:dyDescent="0.3">
      <c r="A523" s="1" t="s">
        <v>445</v>
      </c>
      <c r="B523" s="1" t="str">
        <f t="shared" si="24"/>
        <v>The</v>
      </c>
      <c r="C523" s="1" t="s">
        <v>446</v>
      </c>
      <c r="D523" s="2">
        <v>4.4000000000000004</v>
      </c>
      <c r="E523" s="2">
        <v>11616</v>
      </c>
      <c r="F523" s="2">
        <v>7</v>
      </c>
      <c r="G523" s="2" t="str">
        <f t="shared" si="25"/>
        <v>Normal Price</v>
      </c>
      <c r="H523" s="2">
        <v>2013</v>
      </c>
      <c r="I523" s="1" t="s">
        <v>12</v>
      </c>
      <c r="J523" s="5" t="str">
        <f t="shared" si="26"/>
        <v>Good</v>
      </c>
    </row>
    <row r="524" spans="1:10" ht="14.4" x14ac:dyDescent="0.3">
      <c r="A524" s="1" t="s">
        <v>492</v>
      </c>
      <c r="B524" s="1" t="str">
        <f t="shared" si="24"/>
        <v>The</v>
      </c>
      <c r="C524" s="1" t="s">
        <v>493</v>
      </c>
      <c r="D524" s="2">
        <v>4.4000000000000004</v>
      </c>
      <c r="E524" s="2">
        <v>1201</v>
      </c>
      <c r="F524" s="2">
        <v>40</v>
      </c>
      <c r="G524" s="2" t="str">
        <f t="shared" si="25"/>
        <v>High Price</v>
      </c>
      <c r="H524" s="2">
        <v>2013</v>
      </c>
      <c r="I524" s="1" t="s">
        <v>9</v>
      </c>
      <c r="J524" s="5" t="str">
        <f t="shared" si="26"/>
        <v>Good</v>
      </c>
    </row>
    <row r="525" spans="1:10" ht="14.4" x14ac:dyDescent="0.3">
      <c r="A525" s="1" t="s">
        <v>586</v>
      </c>
      <c r="B525" s="1" t="str">
        <f t="shared" si="24"/>
        <v>Wheat</v>
      </c>
      <c r="C525" s="1" t="s">
        <v>587</v>
      </c>
      <c r="D525" s="2">
        <v>4.4000000000000004</v>
      </c>
      <c r="E525" s="2">
        <v>7497</v>
      </c>
      <c r="F525" s="2">
        <v>6</v>
      </c>
      <c r="G525" s="2" t="str">
        <f t="shared" si="25"/>
        <v>Normal Price</v>
      </c>
      <c r="H525" s="2">
        <v>2013</v>
      </c>
      <c r="I525" s="1" t="s">
        <v>9</v>
      </c>
      <c r="J525" s="5" t="str">
        <f t="shared" si="26"/>
        <v>Good</v>
      </c>
    </row>
    <row r="526" spans="1:10" ht="14.4" x14ac:dyDescent="0.3">
      <c r="A526" s="1" t="s">
        <v>445</v>
      </c>
      <c r="B526" s="1" t="str">
        <f t="shared" si="24"/>
        <v>The</v>
      </c>
      <c r="C526" s="1" t="s">
        <v>446</v>
      </c>
      <c r="D526" s="2">
        <v>4.4000000000000004</v>
      </c>
      <c r="E526" s="2">
        <v>11616</v>
      </c>
      <c r="F526" s="2">
        <v>7</v>
      </c>
      <c r="G526" s="2" t="str">
        <f t="shared" si="25"/>
        <v>Normal Price</v>
      </c>
      <c r="H526" s="2">
        <v>2014</v>
      </c>
      <c r="I526" s="1" t="s">
        <v>12</v>
      </c>
      <c r="J526" s="5" t="str">
        <f t="shared" si="26"/>
        <v>Good</v>
      </c>
    </row>
    <row r="527" spans="1:10" ht="14.4" x14ac:dyDescent="0.3">
      <c r="A527" s="1" t="s">
        <v>492</v>
      </c>
      <c r="B527" s="1" t="str">
        <f t="shared" si="24"/>
        <v>The</v>
      </c>
      <c r="C527" s="1" t="s">
        <v>493</v>
      </c>
      <c r="D527" s="2">
        <v>4.4000000000000004</v>
      </c>
      <c r="E527" s="2">
        <v>1201</v>
      </c>
      <c r="F527" s="2">
        <v>40</v>
      </c>
      <c r="G527" s="2" t="str">
        <f t="shared" si="25"/>
        <v>High Price</v>
      </c>
      <c r="H527" s="2">
        <v>2014</v>
      </c>
      <c r="I527" s="1" t="s">
        <v>9</v>
      </c>
      <c r="J527" s="5" t="str">
        <f t="shared" si="26"/>
        <v>Good</v>
      </c>
    </row>
    <row r="528" spans="1:10" ht="14.4" x14ac:dyDescent="0.3">
      <c r="A528" s="1" t="s">
        <v>39</v>
      </c>
      <c r="B528" s="1" t="str">
        <f t="shared" si="24"/>
        <v>Adult</v>
      </c>
      <c r="C528" s="1" t="s">
        <v>38</v>
      </c>
      <c r="D528" s="2">
        <v>4.4000000000000004</v>
      </c>
      <c r="E528" s="2">
        <v>2951</v>
      </c>
      <c r="F528" s="2">
        <v>6</v>
      </c>
      <c r="G528" s="2" t="str">
        <f t="shared" si="25"/>
        <v>Normal Price</v>
      </c>
      <c r="H528" s="2">
        <v>2015</v>
      </c>
      <c r="I528" s="1" t="s">
        <v>9</v>
      </c>
      <c r="J528" s="5" t="str">
        <f t="shared" si="26"/>
        <v>Good</v>
      </c>
    </row>
    <row r="529" spans="1:10" ht="14.4" x14ac:dyDescent="0.3">
      <c r="A529" s="1" t="s">
        <v>200</v>
      </c>
      <c r="B529" s="1" t="str">
        <f t="shared" si="24"/>
        <v>Grey:</v>
      </c>
      <c r="C529" s="1" t="s">
        <v>156</v>
      </c>
      <c r="D529" s="2">
        <v>4.4000000000000004</v>
      </c>
      <c r="E529" s="2">
        <v>25624</v>
      </c>
      <c r="F529" s="2">
        <v>14</v>
      </c>
      <c r="G529" s="2" t="str">
        <f t="shared" si="25"/>
        <v>High Price</v>
      </c>
      <c r="H529" s="2">
        <v>2015</v>
      </c>
      <c r="I529" s="1" t="s">
        <v>12</v>
      </c>
      <c r="J529" s="5" t="str">
        <f t="shared" si="26"/>
        <v>Good</v>
      </c>
    </row>
    <row r="530" spans="1:10" ht="14.4" x14ac:dyDescent="0.3">
      <c r="A530" s="1" t="s">
        <v>220</v>
      </c>
      <c r="B530" s="1" t="str">
        <f t="shared" si="24"/>
        <v>Hillbilly</v>
      </c>
      <c r="C530" s="1" t="s">
        <v>221</v>
      </c>
      <c r="D530" s="2">
        <v>4.4000000000000004</v>
      </c>
      <c r="E530" s="2">
        <v>15526</v>
      </c>
      <c r="F530" s="2">
        <v>14</v>
      </c>
      <c r="G530" s="2" t="str">
        <f t="shared" si="25"/>
        <v>High Price</v>
      </c>
      <c r="H530" s="2">
        <v>2016</v>
      </c>
      <c r="I530" s="1" t="s">
        <v>9</v>
      </c>
      <c r="J530" s="5" t="str">
        <f t="shared" si="26"/>
        <v>Good</v>
      </c>
    </row>
    <row r="531" spans="1:10" ht="14.4" x14ac:dyDescent="0.3">
      <c r="A531" s="1" t="s">
        <v>220</v>
      </c>
      <c r="B531" s="1" t="str">
        <f t="shared" si="24"/>
        <v>Hillbilly</v>
      </c>
      <c r="C531" s="1" t="s">
        <v>221</v>
      </c>
      <c r="D531" s="2">
        <v>4.4000000000000004</v>
      </c>
      <c r="E531" s="2">
        <v>15526</v>
      </c>
      <c r="F531" s="2">
        <v>14</v>
      </c>
      <c r="G531" s="2" t="str">
        <f t="shared" si="25"/>
        <v>High Price</v>
      </c>
      <c r="H531" s="2">
        <v>2017</v>
      </c>
      <c r="I531" s="1" t="s">
        <v>9</v>
      </c>
      <c r="J531" s="5" t="str">
        <f t="shared" si="26"/>
        <v>Good</v>
      </c>
    </row>
    <row r="532" spans="1:10" ht="14.4" x14ac:dyDescent="0.3">
      <c r="A532" s="1" t="s">
        <v>301</v>
      </c>
      <c r="B532" s="1" t="str">
        <f t="shared" si="24"/>
        <v>Milk</v>
      </c>
      <c r="C532" s="1" t="s">
        <v>302</v>
      </c>
      <c r="D532" s="2">
        <v>4.4000000000000004</v>
      </c>
      <c r="E532" s="2">
        <v>3113</v>
      </c>
      <c r="F532" s="2">
        <v>6</v>
      </c>
      <c r="G532" s="2" t="str">
        <f t="shared" si="25"/>
        <v>Normal Price</v>
      </c>
      <c r="H532" s="2">
        <v>2017</v>
      </c>
      <c r="I532" s="1" t="s">
        <v>9</v>
      </c>
      <c r="J532" s="5" t="str">
        <f t="shared" si="26"/>
        <v>Good</v>
      </c>
    </row>
    <row r="533" spans="1:10" ht="14.4" x14ac:dyDescent="0.3">
      <c r="A533" s="1" t="s">
        <v>153</v>
      </c>
      <c r="B533" s="1" t="str">
        <f t="shared" si="24"/>
        <v>Fear:</v>
      </c>
      <c r="C533" s="1" t="s">
        <v>154</v>
      </c>
      <c r="D533" s="2">
        <v>4.4000000000000004</v>
      </c>
      <c r="E533" s="2">
        <v>6042</v>
      </c>
      <c r="F533" s="2">
        <v>2</v>
      </c>
      <c r="G533" s="2" t="str">
        <f t="shared" si="25"/>
        <v>Normal Price</v>
      </c>
      <c r="H533" s="2">
        <v>2018</v>
      </c>
      <c r="I533" s="1" t="s">
        <v>9</v>
      </c>
      <c r="J533" s="5" t="str">
        <f t="shared" si="26"/>
        <v>Good</v>
      </c>
    </row>
    <row r="534" spans="1:10" ht="14.4" x14ac:dyDescent="0.3">
      <c r="A534" s="1" t="s">
        <v>247</v>
      </c>
      <c r="B534" s="1" t="str">
        <f t="shared" si="24"/>
        <v>Instant</v>
      </c>
      <c r="C534" s="1" t="s">
        <v>248</v>
      </c>
      <c r="D534" s="2">
        <v>4.4000000000000004</v>
      </c>
      <c r="E534" s="2">
        <v>7396</v>
      </c>
      <c r="F534" s="2">
        <v>13</v>
      </c>
      <c r="G534" s="2" t="str">
        <f t="shared" si="25"/>
        <v>High Price</v>
      </c>
      <c r="H534" s="2">
        <v>2018</v>
      </c>
      <c r="I534" s="1" t="s">
        <v>9</v>
      </c>
      <c r="J534" s="5" t="str">
        <f t="shared" si="26"/>
        <v>Good</v>
      </c>
    </row>
    <row r="535" spans="1:10" ht="14.4" x14ac:dyDescent="0.3">
      <c r="A535" s="1" t="s">
        <v>275</v>
      </c>
      <c r="B535" s="1" t="str">
        <f t="shared" si="24"/>
        <v>Lettering</v>
      </c>
      <c r="C535" s="1" t="s">
        <v>276</v>
      </c>
      <c r="D535" s="2">
        <v>4.4000000000000004</v>
      </c>
      <c r="E535" s="2">
        <v>7550</v>
      </c>
      <c r="F535" s="2">
        <v>6</v>
      </c>
      <c r="G535" s="2" t="str">
        <f t="shared" si="25"/>
        <v>Normal Price</v>
      </c>
      <c r="H535" s="2">
        <v>2018</v>
      </c>
      <c r="I535" s="1" t="s">
        <v>9</v>
      </c>
      <c r="J535" s="5" t="str">
        <f t="shared" si="26"/>
        <v>Good</v>
      </c>
    </row>
    <row r="536" spans="1:10" ht="14.4" x14ac:dyDescent="0.3">
      <c r="A536" s="1" t="s">
        <v>503</v>
      </c>
      <c r="B536" s="1" t="str">
        <f t="shared" si="24"/>
        <v>The</v>
      </c>
      <c r="C536" s="1" t="s">
        <v>502</v>
      </c>
      <c r="D536" s="2">
        <v>4.4000000000000004</v>
      </c>
      <c r="E536" s="2">
        <v>7058</v>
      </c>
      <c r="F536" s="2">
        <v>17</v>
      </c>
      <c r="G536" s="2" t="str">
        <f t="shared" si="25"/>
        <v>High Price</v>
      </c>
      <c r="H536" s="2">
        <v>2018</v>
      </c>
      <c r="I536" s="1" t="s">
        <v>9</v>
      </c>
      <c r="J536" s="5" t="str">
        <f t="shared" si="26"/>
        <v>Good</v>
      </c>
    </row>
    <row r="537" spans="1:10" ht="14.4" x14ac:dyDescent="0.3">
      <c r="A537" s="1" t="s">
        <v>247</v>
      </c>
      <c r="B537" s="1" t="str">
        <f t="shared" si="24"/>
        <v>Instant</v>
      </c>
      <c r="C537" s="1" t="s">
        <v>248</v>
      </c>
      <c r="D537" s="2">
        <v>4.4000000000000004</v>
      </c>
      <c r="E537" s="2">
        <v>7396</v>
      </c>
      <c r="F537" s="2">
        <v>13</v>
      </c>
      <c r="G537" s="2" t="str">
        <f t="shared" si="25"/>
        <v>High Price</v>
      </c>
      <c r="H537" s="2">
        <v>2019</v>
      </c>
      <c r="I537" s="1" t="s">
        <v>9</v>
      </c>
      <c r="J537" s="5" t="str">
        <f t="shared" si="26"/>
        <v>Good</v>
      </c>
    </row>
    <row r="538" spans="1:10" ht="13.2" x14ac:dyDescent="0.25">
      <c r="A538" s="3" t="s">
        <v>648</v>
      </c>
      <c r="B538" s="3" t="str">
        <f t="shared" si="24"/>
        <v>The</v>
      </c>
      <c r="C538" s="3" t="s">
        <v>649</v>
      </c>
      <c r="D538" s="3">
        <v>4.4000000000000004</v>
      </c>
      <c r="E538" s="3">
        <v>42235</v>
      </c>
      <c r="F538" s="3">
        <v>16</v>
      </c>
      <c r="G538" s="3" t="str">
        <f t="shared" si="25"/>
        <v>High Price</v>
      </c>
      <c r="H538" s="3">
        <v>2020</v>
      </c>
      <c r="I538" s="3" t="s">
        <v>12</v>
      </c>
      <c r="J538" s="5" t="str">
        <f t="shared" si="26"/>
        <v>Good</v>
      </c>
    </row>
    <row r="539" spans="1:10" ht="14.4" x14ac:dyDescent="0.3">
      <c r="A539" s="1" t="s">
        <v>140</v>
      </c>
      <c r="B539" s="1" t="str">
        <f t="shared" si="24"/>
        <v>Eat</v>
      </c>
      <c r="C539" s="1" t="s">
        <v>139</v>
      </c>
      <c r="D539" s="2">
        <v>4.3</v>
      </c>
      <c r="E539" s="2">
        <v>956</v>
      </c>
      <c r="F539" s="2">
        <v>14</v>
      </c>
      <c r="G539" s="2" t="str">
        <f t="shared" si="25"/>
        <v>High Price</v>
      </c>
      <c r="H539" s="2">
        <v>2009</v>
      </c>
      <c r="I539" s="1" t="s">
        <v>9</v>
      </c>
      <c r="J539" s="5" t="str">
        <f t="shared" si="26"/>
        <v>Good</v>
      </c>
    </row>
    <row r="540" spans="1:10" ht="14.4" x14ac:dyDescent="0.3">
      <c r="A540" s="1" t="s">
        <v>552</v>
      </c>
      <c r="B540" s="1" t="str">
        <f t="shared" si="24"/>
        <v>Three</v>
      </c>
      <c r="C540" s="1" t="s">
        <v>553</v>
      </c>
      <c r="D540" s="2">
        <v>4.3</v>
      </c>
      <c r="E540" s="2">
        <v>3319</v>
      </c>
      <c r="F540" s="2">
        <v>11</v>
      </c>
      <c r="G540" s="2" t="str">
        <f t="shared" si="25"/>
        <v>High Price</v>
      </c>
      <c r="H540" s="2">
        <v>2009</v>
      </c>
      <c r="I540" s="1" t="s">
        <v>9</v>
      </c>
      <c r="J540" s="5" t="str">
        <f t="shared" si="26"/>
        <v>Good</v>
      </c>
    </row>
    <row r="541" spans="1:10" ht="14.4" x14ac:dyDescent="0.3">
      <c r="A541" s="1" t="s">
        <v>568</v>
      </c>
      <c r="B541" s="1" t="str">
        <f t="shared" si="24"/>
        <v>Under</v>
      </c>
      <c r="C541" s="1" t="s">
        <v>11</v>
      </c>
      <c r="D541" s="2">
        <v>4.3</v>
      </c>
      <c r="E541" s="2">
        <v>6740</v>
      </c>
      <c r="F541" s="2">
        <v>20</v>
      </c>
      <c r="G541" s="2" t="str">
        <f t="shared" si="25"/>
        <v>High Price</v>
      </c>
      <c r="H541" s="2">
        <v>2009</v>
      </c>
      <c r="I541" s="1" t="s">
        <v>12</v>
      </c>
      <c r="J541" s="5" t="str">
        <f t="shared" si="26"/>
        <v>Good</v>
      </c>
    </row>
    <row r="542" spans="1:10" ht="14.4" x14ac:dyDescent="0.3">
      <c r="A542" s="1" t="s">
        <v>105</v>
      </c>
      <c r="B542" s="1" t="str">
        <f t="shared" si="24"/>
        <v>Dead</v>
      </c>
      <c r="C542" s="1" t="s">
        <v>104</v>
      </c>
      <c r="D542" s="2">
        <v>4.3</v>
      </c>
      <c r="E542" s="2">
        <v>1924</v>
      </c>
      <c r="F542" s="2">
        <v>8</v>
      </c>
      <c r="G542" s="2" t="str">
        <f t="shared" si="25"/>
        <v>Normal Price</v>
      </c>
      <c r="H542" s="2">
        <v>2010</v>
      </c>
      <c r="I542" s="1" t="s">
        <v>12</v>
      </c>
      <c r="J542" s="5" t="str">
        <f t="shared" si="26"/>
        <v>Good</v>
      </c>
    </row>
    <row r="543" spans="1:10" ht="14.4" x14ac:dyDescent="0.3">
      <c r="A543" s="1" t="s">
        <v>416</v>
      </c>
      <c r="B543" s="1" t="str">
        <f t="shared" si="24"/>
        <v>The</v>
      </c>
      <c r="C543" s="1" t="s">
        <v>376</v>
      </c>
      <c r="D543" s="2">
        <v>4.3</v>
      </c>
      <c r="E543" s="2">
        <v>3523</v>
      </c>
      <c r="F543" s="2">
        <v>13</v>
      </c>
      <c r="G543" s="2" t="str">
        <f t="shared" si="25"/>
        <v>High Price</v>
      </c>
      <c r="H543" s="2">
        <v>2010</v>
      </c>
      <c r="I543" s="1" t="s">
        <v>12</v>
      </c>
      <c r="J543" s="5" t="str">
        <f t="shared" si="26"/>
        <v>Good</v>
      </c>
    </row>
    <row r="544" spans="1:10" ht="14.4" x14ac:dyDescent="0.3">
      <c r="A544" s="1" t="s">
        <v>552</v>
      </c>
      <c r="B544" s="1" t="str">
        <f t="shared" si="24"/>
        <v>Three</v>
      </c>
      <c r="C544" s="1" t="s">
        <v>553</v>
      </c>
      <c r="D544" s="2">
        <v>4.3</v>
      </c>
      <c r="E544" s="2">
        <v>3319</v>
      </c>
      <c r="F544" s="2">
        <v>11</v>
      </c>
      <c r="G544" s="2" t="str">
        <f t="shared" si="25"/>
        <v>High Price</v>
      </c>
      <c r="H544" s="2">
        <v>2010</v>
      </c>
      <c r="I544" s="1" t="s">
        <v>9</v>
      </c>
      <c r="J544" s="5" t="str">
        <f t="shared" si="26"/>
        <v>Good</v>
      </c>
    </row>
    <row r="545" spans="1:10" ht="14.4" x14ac:dyDescent="0.3">
      <c r="A545" s="1" t="s">
        <v>379</v>
      </c>
      <c r="B545" s="1" t="str">
        <f t="shared" si="24"/>
        <v>The</v>
      </c>
      <c r="C545" s="1" t="s">
        <v>380</v>
      </c>
      <c r="D545" s="2">
        <v>4.3</v>
      </c>
      <c r="E545" s="2">
        <v>2314</v>
      </c>
      <c r="F545" s="2">
        <v>22</v>
      </c>
      <c r="G545" s="2" t="str">
        <f t="shared" si="25"/>
        <v>High Price</v>
      </c>
      <c r="H545" s="2">
        <v>2011</v>
      </c>
      <c r="I545" s="1" t="s">
        <v>9</v>
      </c>
      <c r="J545" s="5" t="str">
        <f t="shared" si="26"/>
        <v>Good</v>
      </c>
    </row>
    <row r="546" spans="1:10" ht="14.4" x14ac:dyDescent="0.3">
      <c r="A546" s="1" t="s">
        <v>381</v>
      </c>
      <c r="B546" s="1" t="str">
        <f t="shared" si="24"/>
        <v>The</v>
      </c>
      <c r="C546" s="1" t="s">
        <v>382</v>
      </c>
      <c r="D546" s="2">
        <v>4.3</v>
      </c>
      <c r="E546" s="2">
        <v>4587</v>
      </c>
      <c r="F546" s="2">
        <v>21</v>
      </c>
      <c r="G546" s="2" t="str">
        <f t="shared" si="25"/>
        <v>High Price</v>
      </c>
      <c r="H546" s="2">
        <v>2011</v>
      </c>
      <c r="I546" s="1" t="s">
        <v>9</v>
      </c>
      <c r="J546" s="5" t="str">
        <f t="shared" si="26"/>
        <v>Good</v>
      </c>
    </row>
    <row r="547" spans="1:10" ht="14.4" x14ac:dyDescent="0.3">
      <c r="A547" s="1" t="s">
        <v>495</v>
      </c>
      <c r="B547" s="1" t="str">
        <f t="shared" si="24"/>
        <v>The</v>
      </c>
      <c r="C547" s="1" t="s">
        <v>496</v>
      </c>
      <c r="D547" s="2">
        <v>4.3</v>
      </c>
      <c r="E547" s="2">
        <v>3759</v>
      </c>
      <c r="F547" s="2">
        <v>16</v>
      </c>
      <c r="G547" s="2" t="str">
        <f t="shared" si="25"/>
        <v>High Price</v>
      </c>
      <c r="H547" s="2">
        <v>2011</v>
      </c>
      <c r="I547" s="1" t="s">
        <v>12</v>
      </c>
      <c r="J547" s="5" t="str">
        <f t="shared" si="26"/>
        <v>Good</v>
      </c>
    </row>
    <row r="548" spans="1:10" ht="14.4" x14ac:dyDescent="0.3">
      <c r="A548" s="1" t="s">
        <v>556</v>
      </c>
      <c r="B548" s="1" t="str">
        <f t="shared" si="24"/>
        <v>Tina</v>
      </c>
      <c r="C548" s="1" t="s">
        <v>557</v>
      </c>
      <c r="D548" s="2">
        <v>4.3</v>
      </c>
      <c r="E548" s="2">
        <v>5977</v>
      </c>
      <c r="F548" s="2">
        <v>12</v>
      </c>
      <c r="G548" s="2" t="str">
        <f t="shared" si="25"/>
        <v>High Price</v>
      </c>
      <c r="H548" s="2">
        <v>2011</v>
      </c>
      <c r="I548" s="1" t="s">
        <v>9</v>
      </c>
      <c r="J548" s="5" t="str">
        <f t="shared" si="26"/>
        <v>Good</v>
      </c>
    </row>
    <row r="549" spans="1:10" ht="14.4" x14ac:dyDescent="0.3">
      <c r="A549" s="1" t="s">
        <v>336</v>
      </c>
      <c r="B549" s="1" t="str">
        <f t="shared" si="24"/>
        <v>Proof</v>
      </c>
      <c r="C549" s="1" t="s">
        <v>337</v>
      </c>
      <c r="D549" s="2">
        <v>4.3</v>
      </c>
      <c r="E549" s="2">
        <v>13616</v>
      </c>
      <c r="F549" s="2">
        <v>10</v>
      </c>
      <c r="G549" s="2" t="str">
        <f t="shared" si="25"/>
        <v>Normal Price</v>
      </c>
      <c r="H549" s="2">
        <v>2012</v>
      </c>
      <c r="I549" s="1" t="s">
        <v>9</v>
      </c>
      <c r="J549" s="5" t="str">
        <f t="shared" si="26"/>
        <v>Good</v>
      </c>
    </row>
    <row r="550" spans="1:10" ht="14.4" x14ac:dyDescent="0.3">
      <c r="A550" s="1" t="s">
        <v>509</v>
      </c>
      <c r="B550" s="1" t="str">
        <f t="shared" si="24"/>
        <v>The</v>
      </c>
      <c r="C550" s="1" t="s">
        <v>376</v>
      </c>
      <c r="D550" s="2">
        <v>4.3</v>
      </c>
      <c r="E550" s="2">
        <v>14493</v>
      </c>
      <c r="F550" s="2">
        <v>18</v>
      </c>
      <c r="G550" s="2" t="str">
        <f t="shared" si="25"/>
        <v>High Price</v>
      </c>
      <c r="H550" s="2">
        <v>2012</v>
      </c>
      <c r="I550" s="1" t="s">
        <v>12</v>
      </c>
      <c r="J550" s="5" t="str">
        <f t="shared" si="26"/>
        <v>Good</v>
      </c>
    </row>
    <row r="551" spans="1:10" ht="14.4" x14ac:dyDescent="0.3">
      <c r="A551" s="1" t="s">
        <v>50</v>
      </c>
      <c r="B551" s="1" t="str">
        <f t="shared" si="24"/>
        <v>And</v>
      </c>
      <c r="C551" s="1" t="s">
        <v>51</v>
      </c>
      <c r="D551" s="2">
        <v>4.3</v>
      </c>
      <c r="E551" s="2">
        <v>12159</v>
      </c>
      <c r="F551" s="2">
        <v>13</v>
      </c>
      <c r="G551" s="2" t="str">
        <f t="shared" si="25"/>
        <v>High Price</v>
      </c>
      <c r="H551" s="2">
        <v>2013</v>
      </c>
      <c r="I551" s="1" t="s">
        <v>12</v>
      </c>
      <c r="J551" s="5" t="str">
        <f t="shared" si="26"/>
        <v>Good</v>
      </c>
    </row>
    <row r="552" spans="1:10" ht="14.4" x14ac:dyDescent="0.3">
      <c r="A552" s="1" t="s">
        <v>336</v>
      </c>
      <c r="B552" s="1" t="str">
        <f t="shared" si="24"/>
        <v>Proof</v>
      </c>
      <c r="C552" s="1" t="s">
        <v>337</v>
      </c>
      <c r="D552" s="2">
        <v>4.3</v>
      </c>
      <c r="E552" s="2">
        <v>13616</v>
      </c>
      <c r="F552" s="2">
        <v>10</v>
      </c>
      <c r="G552" s="2" t="str">
        <f t="shared" si="25"/>
        <v>Normal Price</v>
      </c>
      <c r="H552" s="2">
        <v>2013</v>
      </c>
      <c r="I552" s="1" t="s">
        <v>9</v>
      </c>
      <c r="J552" s="5" t="str">
        <f t="shared" si="26"/>
        <v>Good</v>
      </c>
    </row>
    <row r="553" spans="1:10" ht="14.4" x14ac:dyDescent="0.3">
      <c r="A553" s="1" t="s">
        <v>239</v>
      </c>
      <c r="B553" s="1" t="str">
        <f t="shared" si="24"/>
        <v>If</v>
      </c>
      <c r="C553" s="1" t="s">
        <v>240</v>
      </c>
      <c r="D553" s="2">
        <v>4.3</v>
      </c>
      <c r="E553" s="2">
        <v>7153</v>
      </c>
      <c r="F553" s="2">
        <v>9</v>
      </c>
      <c r="G553" s="2" t="str">
        <f t="shared" si="25"/>
        <v>Normal Price</v>
      </c>
      <c r="H553" s="2">
        <v>2014</v>
      </c>
      <c r="I553" s="1" t="s">
        <v>12</v>
      </c>
      <c r="J553" s="5" t="str">
        <f t="shared" si="26"/>
        <v>Good</v>
      </c>
    </row>
    <row r="554" spans="1:10" ht="14.4" x14ac:dyDescent="0.3">
      <c r="A554" s="1" t="s">
        <v>494</v>
      </c>
      <c r="B554" s="1" t="str">
        <f t="shared" si="24"/>
        <v>The</v>
      </c>
      <c r="C554" s="1" t="s">
        <v>493</v>
      </c>
      <c r="D554" s="2">
        <v>4.3</v>
      </c>
      <c r="E554" s="2">
        <v>807</v>
      </c>
      <c r="F554" s="2">
        <v>36</v>
      </c>
      <c r="G554" s="2" t="str">
        <f t="shared" si="25"/>
        <v>High Price</v>
      </c>
      <c r="H554" s="2">
        <v>2016</v>
      </c>
      <c r="I554" s="1" t="s">
        <v>9</v>
      </c>
      <c r="J554" s="5" t="str">
        <f t="shared" si="26"/>
        <v>Good</v>
      </c>
    </row>
    <row r="555" spans="1:10" ht="14.4" x14ac:dyDescent="0.3">
      <c r="A555" s="1" t="s">
        <v>325</v>
      </c>
      <c r="B555" s="1" t="str">
        <f t="shared" si="24"/>
        <v>Origin:</v>
      </c>
      <c r="C555" s="1" t="s">
        <v>244</v>
      </c>
      <c r="D555" s="2">
        <v>4.3</v>
      </c>
      <c r="E555" s="2">
        <v>18904</v>
      </c>
      <c r="F555" s="2">
        <v>13</v>
      </c>
      <c r="G555" s="2" t="str">
        <f t="shared" si="25"/>
        <v>High Price</v>
      </c>
      <c r="H555" s="2">
        <v>2017</v>
      </c>
      <c r="I555" s="1" t="s">
        <v>12</v>
      </c>
      <c r="J555" s="5" t="str">
        <f t="shared" si="26"/>
        <v>Good</v>
      </c>
    </row>
    <row r="556" spans="1:10" ht="14.4" x14ac:dyDescent="0.3">
      <c r="A556" s="1" t="s">
        <v>450</v>
      </c>
      <c r="B556" s="1" t="str">
        <f t="shared" si="24"/>
        <v>The</v>
      </c>
      <c r="C556" s="1" t="s">
        <v>451</v>
      </c>
      <c r="D556" s="2">
        <v>4.3</v>
      </c>
      <c r="E556" s="2">
        <v>29442</v>
      </c>
      <c r="F556" s="2">
        <v>7</v>
      </c>
      <c r="G556" s="2" t="str">
        <f t="shared" si="25"/>
        <v>Normal Price</v>
      </c>
      <c r="H556" s="2">
        <v>2017</v>
      </c>
      <c r="I556" s="1" t="s">
        <v>12</v>
      </c>
      <c r="J556" s="5" t="str">
        <f t="shared" si="26"/>
        <v>Good</v>
      </c>
    </row>
    <row r="557" spans="1:10" ht="14.4" x14ac:dyDescent="0.3">
      <c r="A557" s="1" t="s">
        <v>464</v>
      </c>
      <c r="B557" s="1" t="str">
        <f t="shared" si="24"/>
        <v>The</v>
      </c>
      <c r="C557" s="1" t="s">
        <v>465</v>
      </c>
      <c r="D557" s="2">
        <v>4.3</v>
      </c>
      <c r="E557" s="2">
        <v>7368</v>
      </c>
      <c r="F557" s="2">
        <v>7</v>
      </c>
      <c r="G557" s="2" t="str">
        <f t="shared" si="25"/>
        <v>Normal Price</v>
      </c>
      <c r="H557" s="2">
        <v>2017</v>
      </c>
      <c r="I557" s="1" t="s">
        <v>9</v>
      </c>
      <c r="J557" s="5" t="str">
        <f t="shared" si="26"/>
        <v>Good</v>
      </c>
    </row>
    <row r="558" spans="1:10" ht="14.4" x14ac:dyDescent="0.3">
      <c r="A558" s="1" t="s">
        <v>92</v>
      </c>
      <c r="B558" s="1" t="str">
        <f t="shared" si="24"/>
        <v>Crazy</v>
      </c>
      <c r="C558" s="1" t="s">
        <v>93</v>
      </c>
      <c r="D558" s="2">
        <v>4.3</v>
      </c>
      <c r="E558" s="2">
        <v>6143</v>
      </c>
      <c r="F558" s="2">
        <v>8</v>
      </c>
      <c r="G558" s="2" t="str">
        <f t="shared" si="25"/>
        <v>Normal Price</v>
      </c>
      <c r="H558" s="2">
        <v>2018</v>
      </c>
      <c r="I558" s="1" t="s">
        <v>12</v>
      </c>
      <c r="J558" s="5" t="str">
        <f t="shared" si="26"/>
        <v>Good</v>
      </c>
    </row>
    <row r="559" spans="1:10" ht="14.4" x14ac:dyDescent="0.3">
      <c r="A559" s="1" t="s">
        <v>414</v>
      </c>
      <c r="B559" s="1" t="str">
        <f t="shared" si="24"/>
        <v>The</v>
      </c>
      <c r="C559" s="1" t="s">
        <v>415</v>
      </c>
      <c r="D559" s="2">
        <v>4.3</v>
      </c>
      <c r="E559" s="2">
        <v>13061</v>
      </c>
      <c r="F559" s="2">
        <v>6</v>
      </c>
      <c r="G559" s="2" t="str">
        <f t="shared" si="25"/>
        <v>Normal Price</v>
      </c>
      <c r="H559" s="2">
        <v>2018</v>
      </c>
      <c r="I559" s="1" t="s">
        <v>9</v>
      </c>
      <c r="J559" s="5" t="str">
        <f t="shared" si="26"/>
        <v>Good</v>
      </c>
    </row>
    <row r="560" spans="1:10" ht="14.4" x14ac:dyDescent="0.3">
      <c r="A560" s="1" t="s">
        <v>464</v>
      </c>
      <c r="B560" s="1" t="str">
        <f t="shared" si="24"/>
        <v>The</v>
      </c>
      <c r="C560" s="1" t="s">
        <v>465</v>
      </c>
      <c r="D560" s="2">
        <v>4.3</v>
      </c>
      <c r="E560" s="2">
        <v>7368</v>
      </c>
      <c r="F560" s="2">
        <v>7</v>
      </c>
      <c r="G560" s="2" t="str">
        <f t="shared" si="25"/>
        <v>Normal Price</v>
      </c>
      <c r="H560" s="2">
        <v>2018</v>
      </c>
      <c r="I560" s="1" t="s">
        <v>9</v>
      </c>
      <c r="J560" s="5" t="str">
        <f t="shared" si="26"/>
        <v>Good</v>
      </c>
    </row>
    <row r="561" spans="1:10" ht="14.4" x14ac:dyDescent="0.3">
      <c r="A561" s="1" t="s">
        <v>508</v>
      </c>
      <c r="B561" s="1" t="str">
        <f t="shared" si="24"/>
        <v>The</v>
      </c>
      <c r="C561" s="1" t="s">
        <v>236</v>
      </c>
      <c r="D561" s="2">
        <v>4.3</v>
      </c>
      <c r="E561" s="2">
        <v>10191</v>
      </c>
      <c r="F561" s="2">
        <v>18</v>
      </c>
      <c r="G561" s="2" t="str">
        <f t="shared" si="25"/>
        <v>High Price</v>
      </c>
      <c r="H561" s="2">
        <v>2018</v>
      </c>
      <c r="I561" s="1" t="s">
        <v>12</v>
      </c>
      <c r="J561" s="5" t="str">
        <f t="shared" si="26"/>
        <v>Good</v>
      </c>
    </row>
    <row r="562" spans="1:10" ht="14.4" x14ac:dyDescent="0.3">
      <c r="A562" s="1" t="s">
        <v>226</v>
      </c>
      <c r="B562" s="1" t="str">
        <f t="shared" si="24"/>
        <v>Howard</v>
      </c>
      <c r="C562" s="1" t="s">
        <v>227</v>
      </c>
      <c r="D562" s="2">
        <v>4.3</v>
      </c>
      <c r="E562" s="2">
        <v>5272</v>
      </c>
      <c r="F562" s="2">
        <v>16</v>
      </c>
      <c r="G562" s="2" t="str">
        <f t="shared" si="25"/>
        <v>High Price</v>
      </c>
      <c r="H562" s="2">
        <v>2019</v>
      </c>
      <c r="I562" s="1" t="s">
        <v>9</v>
      </c>
      <c r="J562" s="5" t="str">
        <f t="shared" si="26"/>
        <v>Good</v>
      </c>
    </row>
    <row r="563" spans="1:10" ht="14.4" x14ac:dyDescent="0.3">
      <c r="A563" s="1" t="s">
        <v>414</v>
      </c>
      <c r="B563" s="1" t="str">
        <f t="shared" si="24"/>
        <v>The</v>
      </c>
      <c r="C563" s="1" t="s">
        <v>415</v>
      </c>
      <c r="D563" s="2">
        <v>4.3</v>
      </c>
      <c r="E563" s="2">
        <v>13061</v>
      </c>
      <c r="F563" s="2">
        <v>6</v>
      </c>
      <c r="G563" s="2" t="str">
        <f t="shared" si="25"/>
        <v>Normal Price</v>
      </c>
      <c r="H563" s="2">
        <v>2019</v>
      </c>
      <c r="I563" s="1" t="s">
        <v>9</v>
      </c>
      <c r="J563" s="5" t="str">
        <f t="shared" si="26"/>
        <v>Good</v>
      </c>
    </row>
    <row r="564" spans="1:10" ht="13.2" x14ac:dyDescent="0.25">
      <c r="A564" s="3" t="s">
        <v>616</v>
      </c>
      <c r="B564" s="3" t="str">
        <f t="shared" si="24"/>
        <v>White</v>
      </c>
      <c r="C564" s="3" t="s">
        <v>617</v>
      </c>
      <c r="D564" s="3">
        <v>4.3</v>
      </c>
      <c r="E564" s="3">
        <v>31125</v>
      </c>
      <c r="F564" s="3">
        <v>10</v>
      </c>
      <c r="G564" s="3" t="str">
        <f t="shared" si="25"/>
        <v>Normal Price</v>
      </c>
      <c r="H564" s="3">
        <v>2020</v>
      </c>
      <c r="I564" s="3" t="s">
        <v>9</v>
      </c>
      <c r="J564" s="5" t="str">
        <f t="shared" si="26"/>
        <v>Good</v>
      </c>
    </row>
    <row r="565" spans="1:10" ht="13.2" x14ac:dyDescent="0.25">
      <c r="A565" s="3" t="s">
        <v>618</v>
      </c>
      <c r="B565" s="3" t="str">
        <f t="shared" si="24"/>
        <v>The</v>
      </c>
      <c r="C565" s="3" t="s">
        <v>619</v>
      </c>
      <c r="D565" s="3">
        <v>4.3</v>
      </c>
      <c r="E565" s="3">
        <v>44608</v>
      </c>
      <c r="F565" s="3">
        <v>12</v>
      </c>
      <c r="G565" s="3" t="str">
        <f t="shared" si="25"/>
        <v>High Price</v>
      </c>
      <c r="H565" s="3">
        <v>2020</v>
      </c>
      <c r="I565" s="3" t="s">
        <v>9</v>
      </c>
      <c r="J565" s="5" t="str">
        <f t="shared" si="26"/>
        <v>Good</v>
      </c>
    </row>
    <row r="566" spans="1:10" ht="14.4" x14ac:dyDescent="0.3">
      <c r="A566" s="1" t="s">
        <v>320</v>
      </c>
      <c r="B566" s="1" t="str">
        <f t="shared" si="24"/>
        <v>Olive</v>
      </c>
      <c r="C566" s="1" t="s">
        <v>321</v>
      </c>
      <c r="D566" s="2">
        <v>4.2</v>
      </c>
      <c r="E566" s="2">
        <v>4519</v>
      </c>
      <c r="F566" s="2">
        <v>12</v>
      </c>
      <c r="G566" s="2" t="str">
        <f t="shared" si="25"/>
        <v>High Price</v>
      </c>
      <c r="H566" s="2">
        <v>2009</v>
      </c>
      <c r="I566" s="1" t="s">
        <v>12</v>
      </c>
      <c r="J566" s="5" t="str">
        <f t="shared" si="26"/>
        <v>Good</v>
      </c>
    </row>
    <row r="567" spans="1:10" ht="14.4" x14ac:dyDescent="0.3">
      <c r="A567" s="1" t="s">
        <v>477</v>
      </c>
      <c r="B567" s="1" t="str">
        <f t="shared" si="24"/>
        <v>The</v>
      </c>
      <c r="C567" s="1" t="s">
        <v>244</v>
      </c>
      <c r="D567" s="2">
        <v>4.2</v>
      </c>
      <c r="E567" s="2">
        <v>8747</v>
      </c>
      <c r="F567" s="2">
        <v>19</v>
      </c>
      <c r="G567" s="2" t="str">
        <f t="shared" si="25"/>
        <v>High Price</v>
      </c>
      <c r="H567" s="2">
        <v>2009</v>
      </c>
      <c r="I567" s="1" t="s">
        <v>12</v>
      </c>
      <c r="J567" s="5" t="str">
        <f t="shared" si="26"/>
        <v>Good</v>
      </c>
    </row>
    <row r="568" spans="1:10" ht="14.4" x14ac:dyDescent="0.3">
      <c r="A568" s="1" t="s">
        <v>56</v>
      </c>
      <c r="B568" s="1" t="str">
        <f t="shared" si="24"/>
        <v>Autobiography</v>
      </c>
      <c r="C568" s="1" t="s">
        <v>57</v>
      </c>
      <c r="D568" s="2">
        <v>4.2</v>
      </c>
      <c r="E568" s="2">
        <v>491</v>
      </c>
      <c r="F568" s="2">
        <v>14</v>
      </c>
      <c r="G568" s="2" t="str">
        <f t="shared" si="25"/>
        <v>High Price</v>
      </c>
      <c r="H568" s="2">
        <v>2010</v>
      </c>
      <c r="I568" s="1" t="s">
        <v>9</v>
      </c>
      <c r="J568" s="5" t="str">
        <f t="shared" si="26"/>
        <v>Good</v>
      </c>
    </row>
    <row r="569" spans="1:10" ht="14.4" x14ac:dyDescent="0.3">
      <c r="A569" s="1" t="s">
        <v>600</v>
      </c>
      <c r="B569" s="1" t="str">
        <f t="shared" si="24"/>
        <v>Women</v>
      </c>
      <c r="C569" s="1" t="s">
        <v>601</v>
      </c>
      <c r="D569" s="2">
        <v>4.2</v>
      </c>
      <c r="E569" s="2">
        <v>1302</v>
      </c>
      <c r="F569" s="2">
        <v>11</v>
      </c>
      <c r="G569" s="2" t="str">
        <f t="shared" si="25"/>
        <v>High Price</v>
      </c>
      <c r="H569" s="2">
        <v>2010</v>
      </c>
      <c r="I569" s="1" t="s">
        <v>9</v>
      </c>
      <c r="J569" s="5" t="str">
        <f t="shared" si="26"/>
        <v>Good</v>
      </c>
    </row>
    <row r="570" spans="1:10" ht="14.4" x14ac:dyDescent="0.3">
      <c r="A570" s="1" t="s">
        <v>106</v>
      </c>
      <c r="B570" s="1" t="str">
        <f t="shared" si="24"/>
        <v>Dead</v>
      </c>
      <c r="C570" s="1" t="s">
        <v>104</v>
      </c>
      <c r="D570" s="2">
        <v>4.2</v>
      </c>
      <c r="E570" s="2">
        <v>2094</v>
      </c>
      <c r="F570" s="2">
        <v>4</v>
      </c>
      <c r="G570" s="2" t="str">
        <f t="shared" si="25"/>
        <v>Normal Price</v>
      </c>
      <c r="H570" s="2">
        <v>2011</v>
      </c>
      <c r="I570" s="1" t="s">
        <v>12</v>
      </c>
      <c r="J570" s="5" t="str">
        <f t="shared" si="26"/>
        <v>Good</v>
      </c>
    </row>
    <row r="571" spans="1:10" ht="14.4" x14ac:dyDescent="0.3">
      <c r="A571" s="1" t="s">
        <v>289</v>
      </c>
      <c r="B571" s="1" t="str">
        <f t="shared" si="24"/>
        <v>Love</v>
      </c>
      <c r="C571" s="1" t="s">
        <v>290</v>
      </c>
      <c r="D571" s="2">
        <v>4.2</v>
      </c>
      <c r="E571" s="2">
        <v>1649</v>
      </c>
      <c r="F571" s="2">
        <v>13</v>
      </c>
      <c r="G571" s="2" t="str">
        <f t="shared" si="25"/>
        <v>High Price</v>
      </c>
      <c r="H571" s="2">
        <v>2011</v>
      </c>
      <c r="I571" s="1" t="s">
        <v>9</v>
      </c>
      <c r="J571" s="5" t="str">
        <f t="shared" si="26"/>
        <v>Good</v>
      </c>
    </row>
    <row r="572" spans="1:10" ht="14.4" x14ac:dyDescent="0.3">
      <c r="A572" s="1" t="s">
        <v>399</v>
      </c>
      <c r="B572" s="1" t="str">
        <f t="shared" si="24"/>
        <v>The</v>
      </c>
      <c r="C572" s="1" t="s">
        <v>400</v>
      </c>
      <c r="D572" s="2">
        <v>4.2</v>
      </c>
      <c r="E572" s="2">
        <v>1789</v>
      </c>
      <c r="F572" s="2">
        <v>14</v>
      </c>
      <c r="G572" s="2" t="str">
        <f t="shared" si="25"/>
        <v>High Price</v>
      </c>
      <c r="H572" s="2">
        <v>2012</v>
      </c>
      <c r="I572" s="1" t="s">
        <v>9</v>
      </c>
      <c r="J572" s="5" t="str">
        <f t="shared" si="26"/>
        <v>Good</v>
      </c>
    </row>
    <row r="573" spans="1:10" ht="14.4" x14ac:dyDescent="0.3">
      <c r="A573" s="1" t="s">
        <v>160</v>
      </c>
      <c r="B573" s="1" t="str">
        <f t="shared" si="24"/>
        <v>Fire</v>
      </c>
      <c r="C573" s="1" t="s">
        <v>161</v>
      </c>
      <c r="D573" s="2">
        <v>4.2</v>
      </c>
      <c r="E573" s="2">
        <v>13677</v>
      </c>
      <c r="F573" s="2">
        <v>6</v>
      </c>
      <c r="G573" s="2" t="str">
        <f t="shared" si="25"/>
        <v>Normal Price</v>
      </c>
      <c r="H573" s="2">
        <v>2018</v>
      </c>
      <c r="I573" s="1" t="s">
        <v>9</v>
      </c>
      <c r="J573" s="5" t="str">
        <f t="shared" si="26"/>
        <v>Good</v>
      </c>
    </row>
    <row r="574" spans="1:10" ht="14.4" x14ac:dyDescent="0.3">
      <c r="A574" s="1" t="s">
        <v>281</v>
      </c>
      <c r="B574" s="1" t="str">
        <f t="shared" si="24"/>
        <v>Little</v>
      </c>
      <c r="C574" s="1" t="s">
        <v>282</v>
      </c>
      <c r="D574" s="2">
        <v>4.0999999999999996</v>
      </c>
      <c r="E574" s="2">
        <v>1467</v>
      </c>
      <c r="F574" s="2">
        <v>10</v>
      </c>
      <c r="G574" s="2" t="str">
        <f t="shared" si="25"/>
        <v>Normal Price</v>
      </c>
      <c r="H574" s="2">
        <v>2010</v>
      </c>
      <c r="I574" s="1" t="s">
        <v>12</v>
      </c>
      <c r="J574" s="5" t="str">
        <f t="shared" si="26"/>
        <v>Good</v>
      </c>
    </row>
    <row r="575" spans="1:10" ht="14.4" x14ac:dyDescent="0.3">
      <c r="A575" s="1" t="s">
        <v>423</v>
      </c>
      <c r="B575" s="1" t="str">
        <f t="shared" si="24"/>
        <v>The</v>
      </c>
      <c r="C575" s="1" t="s">
        <v>424</v>
      </c>
      <c r="D575" s="2">
        <v>4.0999999999999996</v>
      </c>
      <c r="E575" s="2">
        <v>2023</v>
      </c>
      <c r="F575" s="2">
        <v>15</v>
      </c>
      <c r="G575" s="2" t="str">
        <f t="shared" si="25"/>
        <v>High Price</v>
      </c>
      <c r="H575" s="2">
        <v>2011</v>
      </c>
      <c r="I575" s="1" t="s">
        <v>9</v>
      </c>
      <c r="J575" s="5" t="str">
        <f t="shared" si="26"/>
        <v>Good</v>
      </c>
    </row>
    <row r="576" spans="1:10" ht="14.4" x14ac:dyDescent="0.3">
      <c r="A576" s="1" t="s">
        <v>243</v>
      </c>
      <c r="B576" s="1" t="str">
        <f t="shared" si="24"/>
        <v>Inferno</v>
      </c>
      <c r="C576" s="1" t="s">
        <v>244</v>
      </c>
      <c r="D576" s="2">
        <v>4.0999999999999996</v>
      </c>
      <c r="E576" s="2">
        <v>29651</v>
      </c>
      <c r="F576" s="2">
        <v>14</v>
      </c>
      <c r="G576" s="2" t="str">
        <f t="shared" si="25"/>
        <v>High Price</v>
      </c>
      <c r="H576" s="2">
        <v>2013</v>
      </c>
      <c r="I576" s="1" t="s">
        <v>12</v>
      </c>
      <c r="J576" s="5" t="str">
        <f t="shared" si="26"/>
        <v>Good</v>
      </c>
    </row>
    <row r="577" spans="1:10" ht="14.4" x14ac:dyDescent="0.3">
      <c r="A577" s="1" t="s">
        <v>362</v>
      </c>
      <c r="B577" s="1" t="str">
        <f t="shared" si="24"/>
        <v>Shred:</v>
      </c>
      <c r="C577" s="1" t="s">
        <v>363</v>
      </c>
      <c r="D577" s="2">
        <v>4.0999999999999996</v>
      </c>
      <c r="E577" s="2">
        <v>2272</v>
      </c>
      <c r="F577" s="2">
        <v>6</v>
      </c>
      <c r="G577" s="2" t="str">
        <f t="shared" si="25"/>
        <v>Normal Price</v>
      </c>
      <c r="H577" s="2">
        <v>2013</v>
      </c>
      <c r="I577" s="1" t="s">
        <v>9</v>
      </c>
      <c r="J577" s="5" t="str">
        <f t="shared" si="26"/>
        <v>Good</v>
      </c>
    </row>
    <row r="578" spans="1:10" ht="14.4" x14ac:dyDescent="0.3">
      <c r="A578" s="1" t="s">
        <v>434</v>
      </c>
      <c r="B578" s="1" t="str">
        <f t="shared" ref="B578:B601" si="27">LEFT(A578,FIND(" ",A578&amp;" ")-1)</f>
        <v>The</v>
      </c>
      <c r="C578" s="1" t="s">
        <v>435</v>
      </c>
      <c r="D578" s="2">
        <v>4.0999999999999996</v>
      </c>
      <c r="E578" s="2">
        <v>79446</v>
      </c>
      <c r="F578" s="2">
        <v>18</v>
      </c>
      <c r="G578" s="2" t="str">
        <f t="shared" ref="G578:G641" si="28">IF(F578&gt;10,"High Price","Normal Price")</f>
        <v>High Price</v>
      </c>
      <c r="H578" s="2">
        <v>2015</v>
      </c>
      <c r="I578" s="1" t="s">
        <v>12</v>
      </c>
      <c r="J578" s="5" t="str">
        <f t="shared" ref="J578:J601" si="29">IF(D578&gt;=4.5,"Excellent",IF(D578&gt;=4,"Good","Average"))</f>
        <v>Good</v>
      </c>
    </row>
    <row r="579" spans="1:10" ht="14.4" x14ac:dyDescent="0.3">
      <c r="A579" s="1" t="s">
        <v>434</v>
      </c>
      <c r="B579" s="1" t="str">
        <f t="shared" si="27"/>
        <v>The</v>
      </c>
      <c r="C579" s="1" t="s">
        <v>435</v>
      </c>
      <c r="D579" s="2">
        <v>4.0999999999999996</v>
      </c>
      <c r="E579" s="2">
        <v>79446</v>
      </c>
      <c r="F579" s="2">
        <v>7</v>
      </c>
      <c r="G579" s="2" t="str">
        <f t="shared" si="28"/>
        <v>Normal Price</v>
      </c>
      <c r="H579" s="2">
        <v>2016</v>
      </c>
      <c r="I579" s="1" t="s">
        <v>12</v>
      </c>
      <c r="J579" s="5" t="str">
        <f t="shared" si="29"/>
        <v>Good</v>
      </c>
    </row>
    <row r="580" spans="1:10" ht="14.4" x14ac:dyDescent="0.3">
      <c r="A580" s="1" t="s">
        <v>369</v>
      </c>
      <c r="B580" s="1" t="str">
        <f t="shared" si="27"/>
        <v>StrengthsFinder</v>
      </c>
      <c r="C580" s="1" t="s">
        <v>370</v>
      </c>
      <c r="D580" s="2">
        <v>4</v>
      </c>
      <c r="E580" s="2">
        <v>5069</v>
      </c>
      <c r="F580" s="2">
        <v>17</v>
      </c>
      <c r="G580" s="2" t="str">
        <f t="shared" si="28"/>
        <v>High Price</v>
      </c>
      <c r="H580" s="2">
        <v>2009</v>
      </c>
      <c r="I580" s="1" t="s">
        <v>9</v>
      </c>
      <c r="J580" s="5" t="str">
        <f t="shared" si="29"/>
        <v>Good</v>
      </c>
    </row>
    <row r="581" spans="1:10" ht="14.4" x14ac:dyDescent="0.3">
      <c r="A581" s="1" t="s">
        <v>425</v>
      </c>
      <c r="B581" s="1" t="str">
        <f t="shared" si="27"/>
        <v>The</v>
      </c>
      <c r="C581" s="1" t="s">
        <v>426</v>
      </c>
      <c r="D581" s="2">
        <v>4</v>
      </c>
      <c r="E581" s="2">
        <v>1859</v>
      </c>
      <c r="F581" s="2">
        <v>11</v>
      </c>
      <c r="G581" s="2" t="str">
        <f t="shared" si="28"/>
        <v>High Price</v>
      </c>
      <c r="H581" s="2">
        <v>2009</v>
      </c>
      <c r="I581" s="1" t="s">
        <v>12</v>
      </c>
      <c r="J581" s="5" t="str">
        <f t="shared" si="29"/>
        <v>Good</v>
      </c>
    </row>
    <row r="582" spans="1:10" ht="14.4" x14ac:dyDescent="0.3">
      <c r="A582" s="1" t="s">
        <v>369</v>
      </c>
      <c r="B582" s="1" t="str">
        <f t="shared" si="27"/>
        <v>StrengthsFinder</v>
      </c>
      <c r="C582" s="1" t="s">
        <v>370</v>
      </c>
      <c r="D582" s="2">
        <v>4</v>
      </c>
      <c r="E582" s="2">
        <v>5069</v>
      </c>
      <c r="F582" s="2">
        <v>17</v>
      </c>
      <c r="G582" s="2" t="str">
        <f t="shared" si="28"/>
        <v>High Price</v>
      </c>
      <c r="H582" s="2">
        <v>2010</v>
      </c>
      <c r="I582" s="1" t="s">
        <v>9</v>
      </c>
      <c r="J582" s="5" t="str">
        <f t="shared" si="29"/>
        <v>Good</v>
      </c>
    </row>
    <row r="583" spans="1:10" ht="14.4" x14ac:dyDescent="0.3">
      <c r="A583" s="1" t="s">
        <v>369</v>
      </c>
      <c r="B583" s="1" t="str">
        <f t="shared" si="27"/>
        <v>StrengthsFinder</v>
      </c>
      <c r="C583" s="1" t="s">
        <v>370</v>
      </c>
      <c r="D583" s="2">
        <v>4</v>
      </c>
      <c r="E583" s="2">
        <v>5069</v>
      </c>
      <c r="F583" s="2">
        <v>17</v>
      </c>
      <c r="G583" s="2" t="str">
        <f t="shared" si="28"/>
        <v>High Price</v>
      </c>
      <c r="H583" s="2">
        <v>2011</v>
      </c>
      <c r="I583" s="1" t="s">
        <v>9</v>
      </c>
      <c r="J583" s="5" t="str">
        <f t="shared" si="29"/>
        <v>Good</v>
      </c>
    </row>
    <row r="584" spans="1:10" ht="14.4" x14ac:dyDescent="0.3">
      <c r="A584" s="1" t="s">
        <v>188</v>
      </c>
      <c r="B584" s="1" t="str">
        <f t="shared" si="27"/>
        <v>Gone</v>
      </c>
      <c r="C584" s="1" t="s">
        <v>189</v>
      </c>
      <c r="D584" s="2">
        <v>4</v>
      </c>
      <c r="E584" s="2">
        <v>57271</v>
      </c>
      <c r="F584" s="2">
        <v>10</v>
      </c>
      <c r="G584" s="2" t="str">
        <f t="shared" si="28"/>
        <v>Normal Price</v>
      </c>
      <c r="H584" s="2">
        <v>2012</v>
      </c>
      <c r="I584" s="1" t="s">
        <v>12</v>
      </c>
      <c r="J584" s="5" t="str">
        <f t="shared" si="29"/>
        <v>Good</v>
      </c>
    </row>
    <row r="585" spans="1:10" ht="14.4" x14ac:dyDescent="0.3">
      <c r="A585" s="1" t="s">
        <v>369</v>
      </c>
      <c r="B585" s="1" t="str">
        <f t="shared" si="27"/>
        <v>StrengthsFinder</v>
      </c>
      <c r="C585" s="1" t="s">
        <v>370</v>
      </c>
      <c r="D585" s="2">
        <v>4</v>
      </c>
      <c r="E585" s="2">
        <v>5069</v>
      </c>
      <c r="F585" s="2">
        <v>17</v>
      </c>
      <c r="G585" s="2" t="str">
        <f t="shared" si="28"/>
        <v>High Price</v>
      </c>
      <c r="H585" s="2">
        <v>2012</v>
      </c>
      <c r="I585" s="1" t="s">
        <v>9</v>
      </c>
      <c r="J585" s="5" t="str">
        <f t="shared" si="29"/>
        <v>Good</v>
      </c>
    </row>
    <row r="586" spans="1:10" ht="14.4" x14ac:dyDescent="0.3">
      <c r="A586" s="1" t="s">
        <v>188</v>
      </c>
      <c r="B586" s="1" t="str">
        <f t="shared" si="27"/>
        <v>Gone</v>
      </c>
      <c r="C586" s="1" t="s">
        <v>189</v>
      </c>
      <c r="D586" s="2">
        <v>4</v>
      </c>
      <c r="E586" s="2">
        <v>57271</v>
      </c>
      <c r="F586" s="2">
        <v>10</v>
      </c>
      <c r="G586" s="2" t="str">
        <f t="shared" si="28"/>
        <v>Normal Price</v>
      </c>
      <c r="H586" s="2">
        <v>2013</v>
      </c>
      <c r="I586" s="1" t="s">
        <v>12</v>
      </c>
      <c r="J586" s="5" t="str">
        <f t="shared" si="29"/>
        <v>Good</v>
      </c>
    </row>
    <row r="587" spans="1:10" ht="14.4" x14ac:dyDescent="0.3">
      <c r="A587" s="1" t="s">
        <v>369</v>
      </c>
      <c r="B587" s="1" t="str">
        <f t="shared" si="27"/>
        <v>StrengthsFinder</v>
      </c>
      <c r="C587" s="1" t="s">
        <v>370</v>
      </c>
      <c r="D587" s="2">
        <v>4</v>
      </c>
      <c r="E587" s="2">
        <v>5069</v>
      </c>
      <c r="F587" s="2">
        <v>17</v>
      </c>
      <c r="G587" s="2" t="str">
        <f t="shared" si="28"/>
        <v>High Price</v>
      </c>
      <c r="H587" s="2">
        <v>2013</v>
      </c>
      <c r="I587" s="1" t="s">
        <v>9</v>
      </c>
      <c r="J587" s="5" t="str">
        <f t="shared" si="29"/>
        <v>Good</v>
      </c>
    </row>
    <row r="588" spans="1:10" ht="14.4" x14ac:dyDescent="0.3">
      <c r="A588" s="1" t="s">
        <v>188</v>
      </c>
      <c r="B588" s="1" t="str">
        <f t="shared" si="27"/>
        <v>Gone</v>
      </c>
      <c r="C588" s="1" t="s">
        <v>189</v>
      </c>
      <c r="D588" s="2">
        <v>4</v>
      </c>
      <c r="E588" s="2">
        <v>57271</v>
      </c>
      <c r="F588" s="2">
        <v>9</v>
      </c>
      <c r="G588" s="2" t="str">
        <f t="shared" si="28"/>
        <v>Normal Price</v>
      </c>
      <c r="H588" s="2">
        <v>2014</v>
      </c>
      <c r="I588" s="1" t="s">
        <v>12</v>
      </c>
      <c r="J588" s="5" t="str">
        <f t="shared" si="29"/>
        <v>Good</v>
      </c>
    </row>
    <row r="589" spans="1:10" ht="14.4" x14ac:dyDescent="0.3">
      <c r="A589" s="1" t="s">
        <v>369</v>
      </c>
      <c r="B589" s="1" t="str">
        <f t="shared" si="27"/>
        <v>StrengthsFinder</v>
      </c>
      <c r="C589" s="1" t="s">
        <v>370</v>
      </c>
      <c r="D589" s="2">
        <v>4</v>
      </c>
      <c r="E589" s="2">
        <v>5069</v>
      </c>
      <c r="F589" s="2">
        <v>17</v>
      </c>
      <c r="G589" s="2" t="str">
        <f t="shared" si="28"/>
        <v>High Price</v>
      </c>
      <c r="H589" s="2">
        <v>2014</v>
      </c>
      <c r="I589" s="1" t="s">
        <v>9</v>
      </c>
      <c r="J589" s="5" t="str">
        <f t="shared" si="29"/>
        <v>Good</v>
      </c>
    </row>
    <row r="590" spans="1:10" ht="14.4" x14ac:dyDescent="0.3">
      <c r="A590" s="1" t="s">
        <v>369</v>
      </c>
      <c r="B590" s="1" t="str">
        <f t="shared" si="27"/>
        <v>StrengthsFinder</v>
      </c>
      <c r="C590" s="1" t="s">
        <v>370</v>
      </c>
      <c r="D590" s="2">
        <v>4</v>
      </c>
      <c r="E590" s="2">
        <v>5069</v>
      </c>
      <c r="F590" s="2">
        <v>17</v>
      </c>
      <c r="G590" s="2" t="str">
        <f t="shared" si="28"/>
        <v>High Price</v>
      </c>
      <c r="H590" s="2">
        <v>2015</v>
      </c>
      <c r="I590" s="1" t="s">
        <v>9</v>
      </c>
      <c r="J590" s="5" t="str">
        <f t="shared" si="29"/>
        <v>Good</v>
      </c>
    </row>
    <row r="591" spans="1:10" ht="14.4" x14ac:dyDescent="0.3">
      <c r="A591" s="1" t="s">
        <v>208</v>
      </c>
      <c r="B591" s="1" t="str">
        <f t="shared" si="27"/>
        <v>Harry</v>
      </c>
      <c r="C591" s="1" t="s">
        <v>152</v>
      </c>
      <c r="D591" s="2">
        <v>4</v>
      </c>
      <c r="E591" s="2">
        <v>23973</v>
      </c>
      <c r="F591" s="2">
        <v>12</v>
      </c>
      <c r="G591" s="2" t="str">
        <f t="shared" si="28"/>
        <v>High Price</v>
      </c>
      <c r="H591" s="2">
        <v>2016</v>
      </c>
      <c r="I591" s="1" t="s">
        <v>12</v>
      </c>
      <c r="J591" s="5" t="str">
        <f t="shared" si="29"/>
        <v>Good</v>
      </c>
    </row>
    <row r="592" spans="1:10" ht="14.4" x14ac:dyDescent="0.3">
      <c r="A592" s="1" t="s">
        <v>369</v>
      </c>
      <c r="B592" s="1" t="str">
        <f t="shared" si="27"/>
        <v>StrengthsFinder</v>
      </c>
      <c r="C592" s="1" t="s">
        <v>370</v>
      </c>
      <c r="D592" s="2">
        <v>4</v>
      </c>
      <c r="E592" s="2">
        <v>5069</v>
      </c>
      <c r="F592" s="2">
        <v>17</v>
      </c>
      <c r="G592" s="2" t="str">
        <f t="shared" si="28"/>
        <v>High Price</v>
      </c>
      <c r="H592" s="2">
        <v>2016</v>
      </c>
      <c r="I592" s="1" t="s">
        <v>9</v>
      </c>
      <c r="J592" s="5" t="str">
        <f t="shared" si="29"/>
        <v>Good</v>
      </c>
    </row>
    <row r="593" spans="1:10" ht="14.4" x14ac:dyDescent="0.3">
      <c r="A593" s="1" t="s">
        <v>369</v>
      </c>
      <c r="B593" s="1" t="str">
        <f t="shared" si="27"/>
        <v>StrengthsFinder</v>
      </c>
      <c r="C593" s="1" t="s">
        <v>370</v>
      </c>
      <c r="D593" s="2">
        <v>4</v>
      </c>
      <c r="E593" s="2">
        <v>5069</v>
      </c>
      <c r="F593" s="2">
        <v>17</v>
      </c>
      <c r="G593" s="2" t="str">
        <f t="shared" si="28"/>
        <v>High Price</v>
      </c>
      <c r="H593" s="2">
        <v>2017</v>
      </c>
      <c r="I593" s="1" t="s">
        <v>9</v>
      </c>
      <c r="J593" s="5" t="str">
        <f t="shared" si="29"/>
        <v>Good</v>
      </c>
    </row>
    <row r="594" spans="1:10" ht="13.2" x14ac:dyDescent="0.25">
      <c r="A594" s="3" t="s">
        <v>657</v>
      </c>
      <c r="B594" s="3" t="str">
        <f t="shared" si="27"/>
        <v>Wacky</v>
      </c>
      <c r="C594" s="3" t="s">
        <v>658</v>
      </c>
      <c r="D594" s="3">
        <v>4</v>
      </c>
      <c r="E594" s="3">
        <v>25510</v>
      </c>
      <c r="F594" s="3">
        <v>7</v>
      </c>
      <c r="G594" s="3" t="str">
        <f t="shared" si="28"/>
        <v>Normal Price</v>
      </c>
      <c r="H594" s="3">
        <v>2020</v>
      </c>
      <c r="I594" s="3" t="s">
        <v>12</v>
      </c>
      <c r="J594" s="5" t="str">
        <f t="shared" si="29"/>
        <v>Good</v>
      </c>
    </row>
    <row r="595" spans="1:10" ht="14.4" x14ac:dyDescent="0.3">
      <c r="A595" s="1" t="s">
        <v>46</v>
      </c>
      <c r="B595" s="1" t="str">
        <f t="shared" si="27"/>
        <v>Allegiant</v>
      </c>
      <c r="C595" s="1" t="s">
        <v>47</v>
      </c>
      <c r="D595" s="2">
        <v>3.9</v>
      </c>
      <c r="E595" s="2">
        <v>6310</v>
      </c>
      <c r="F595" s="2">
        <v>13</v>
      </c>
      <c r="G595" s="2" t="str">
        <f t="shared" si="28"/>
        <v>High Price</v>
      </c>
      <c r="H595" s="2">
        <v>2013</v>
      </c>
      <c r="I595" s="1" t="s">
        <v>12</v>
      </c>
      <c r="J595" s="5" t="str">
        <f t="shared" si="29"/>
        <v>Average</v>
      </c>
    </row>
    <row r="596" spans="1:10" ht="14.4" x14ac:dyDescent="0.3">
      <c r="A596" s="1" t="s">
        <v>443</v>
      </c>
      <c r="B596" s="1" t="str">
        <f t="shared" si="27"/>
        <v>The</v>
      </c>
      <c r="C596" s="1" t="s">
        <v>444</v>
      </c>
      <c r="D596" s="2">
        <v>3.9</v>
      </c>
      <c r="E596" s="2">
        <v>33844</v>
      </c>
      <c r="F596" s="2">
        <v>20</v>
      </c>
      <c r="G596" s="2" t="str">
        <f t="shared" si="28"/>
        <v>High Price</v>
      </c>
      <c r="H596" s="2">
        <v>2013</v>
      </c>
      <c r="I596" s="1" t="s">
        <v>12</v>
      </c>
      <c r="J596" s="5" t="str">
        <f t="shared" si="29"/>
        <v>Average</v>
      </c>
    </row>
    <row r="597" spans="1:10" ht="14.4" x14ac:dyDescent="0.3">
      <c r="A597" s="1" t="s">
        <v>443</v>
      </c>
      <c r="B597" s="1" t="str">
        <f t="shared" si="27"/>
        <v>The</v>
      </c>
      <c r="C597" s="1" t="s">
        <v>444</v>
      </c>
      <c r="D597" s="2">
        <v>3.9</v>
      </c>
      <c r="E597" s="2">
        <v>33844</v>
      </c>
      <c r="F597" s="2">
        <v>20</v>
      </c>
      <c r="G597" s="2" t="str">
        <f t="shared" si="28"/>
        <v>High Price</v>
      </c>
      <c r="H597" s="2">
        <v>2014</v>
      </c>
      <c r="I597" s="1" t="s">
        <v>12</v>
      </c>
      <c r="J597" s="5" t="str">
        <f t="shared" si="29"/>
        <v>Average</v>
      </c>
    </row>
    <row r="598" spans="1:10" ht="14.4" x14ac:dyDescent="0.3">
      <c r="A598" s="1" t="s">
        <v>158</v>
      </c>
      <c r="B598" s="1" t="str">
        <f t="shared" si="27"/>
        <v>Fifty</v>
      </c>
      <c r="C598" s="1" t="s">
        <v>156</v>
      </c>
      <c r="D598" s="2">
        <v>3.8</v>
      </c>
      <c r="E598" s="2">
        <v>47265</v>
      </c>
      <c r="F598" s="2">
        <v>14</v>
      </c>
      <c r="G598" s="2" t="str">
        <f t="shared" si="28"/>
        <v>High Price</v>
      </c>
      <c r="H598" s="2">
        <v>2012</v>
      </c>
      <c r="I598" s="1" t="s">
        <v>12</v>
      </c>
      <c r="J598" s="5" t="str">
        <f t="shared" si="29"/>
        <v>Average</v>
      </c>
    </row>
    <row r="599" spans="1:10" ht="14.4" x14ac:dyDescent="0.3">
      <c r="A599" s="1" t="s">
        <v>158</v>
      </c>
      <c r="B599" s="1" t="str">
        <f t="shared" si="27"/>
        <v>Fifty</v>
      </c>
      <c r="C599" s="1" t="s">
        <v>156</v>
      </c>
      <c r="D599" s="2">
        <v>3.8</v>
      </c>
      <c r="E599" s="2">
        <v>47265</v>
      </c>
      <c r="F599" s="2">
        <v>14</v>
      </c>
      <c r="G599" s="2" t="str">
        <f t="shared" si="28"/>
        <v>High Price</v>
      </c>
      <c r="H599" s="2">
        <v>2013</v>
      </c>
      <c r="I599" s="1" t="s">
        <v>12</v>
      </c>
      <c r="J599" s="5" t="str">
        <f t="shared" si="29"/>
        <v>Average</v>
      </c>
    </row>
    <row r="600" spans="1:10" ht="14.4" x14ac:dyDescent="0.3">
      <c r="A600" s="1" t="s">
        <v>182</v>
      </c>
      <c r="B600" s="1" t="str">
        <f t="shared" si="27"/>
        <v>Go</v>
      </c>
      <c r="C600" s="1" t="s">
        <v>183</v>
      </c>
      <c r="D600" s="2">
        <v>3.6</v>
      </c>
      <c r="E600" s="2">
        <v>14982</v>
      </c>
      <c r="F600" s="2">
        <v>19</v>
      </c>
      <c r="G600" s="2" t="str">
        <f t="shared" si="28"/>
        <v>High Price</v>
      </c>
      <c r="H600" s="2">
        <v>2015</v>
      </c>
      <c r="I600" s="1" t="s">
        <v>12</v>
      </c>
      <c r="J600" s="5" t="str">
        <f t="shared" si="29"/>
        <v>Average</v>
      </c>
    </row>
    <row r="601" spans="1:10" ht="14.4" x14ac:dyDescent="0.3">
      <c r="A601" s="1" t="s">
        <v>411</v>
      </c>
      <c r="B601" s="1" t="str">
        <f t="shared" si="27"/>
        <v>The</v>
      </c>
      <c r="C601" s="1" t="s">
        <v>152</v>
      </c>
      <c r="D601" s="2">
        <v>3.3</v>
      </c>
      <c r="E601" s="2">
        <v>9372</v>
      </c>
      <c r="F601" s="2">
        <v>12</v>
      </c>
      <c r="G601" s="2" t="str">
        <f t="shared" si="28"/>
        <v>High Price</v>
      </c>
      <c r="H601" s="2">
        <v>2012</v>
      </c>
      <c r="I601" s="1" t="s">
        <v>12</v>
      </c>
      <c r="J601" s="5" t="str">
        <f t="shared" si="29"/>
        <v>Average</v>
      </c>
    </row>
  </sheetData>
  <phoneticPr fontId="6" type="noConversion"/>
  <conditionalFormatting sqref="E2:E601">
    <cfRule type="cellIs" dxfId="3" priority="1" operator="greaterThan">
      <formula>10000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85D6-D6F0-4E93-9C35-6C0C33A69658}">
  <dimension ref="A1:D11"/>
  <sheetViews>
    <sheetView workbookViewId="0">
      <selection activeCell="B1" sqref="B1"/>
    </sheetView>
  </sheetViews>
  <sheetFormatPr defaultRowHeight="13.2" x14ac:dyDescent="0.25"/>
  <cols>
    <col min="1" max="1" width="21.77734375" customWidth="1"/>
    <col min="2" max="2" width="45.33203125" customWidth="1"/>
  </cols>
  <sheetData>
    <row r="1" spans="1:4" x14ac:dyDescent="0.25">
      <c r="A1" s="15" t="s">
        <v>679</v>
      </c>
      <c r="B1" s="15" t="s">
        <v>700</v>
      </c>
      <c r="C1" s="15"/>
      <c r="D1" s="15"/>
    </row>
    <row r="2" spans="1:4" ht="52.8" x14ac:dyDescent="0.25">
      <c r="A2" s="9" t="s">
        <v>680</v>
      </c>
      <c r="B2" s="9" t="s">
        <v>694</v>
      </c>
      <c r="C2" s="9"/>
      <c r="D2" s="9"/>
    </row>
    <row r="3" spans="1:4" x14ac:dyDescent="0.25">
      <c r="A3" s="9" t="s">
        <v>681</v>
      </c>
      <c r="B3" s="9" t="s">
        <v>695</v>
      </c>
      <c r="C3" s="9"/>
      <c r="D3" s="9"/>
    </row>
    <row r="4" spans="1:4" x14ac:dyDescent="0.25">
      <c r="A4" s="9" t="s">
        <v>682</v>
      </c>
      <c r="B4" s="9" t="s">
        <v>696</v>
      </c>
      <c r="C4" s="9"/>
      <c r="D4" s="9"/>
    </row>
    <row r="5" spans="1:4" ht="26.4" x14ac:dyDescent="0.25">
      <c r="A5" s="9" t="s">
        <v>683</v>
      </c>
      <c r="B5" s="9" t="s">
        <v>697</v>
      </c>
      <c r="C5" s="9"/>
      <c r="D5" s="9"/>
    </row>
    <row r="6" spans="1:4" x14ac:dyDescent="0.25">
      <c r="A6" s="9" t="s">
        <v>684</v>
      </c>
      <c r="B6" s="9" t="s">
        <v>698</v>
      </c>
      <c r="C6" s="9"/>
      <c r="D6" s="9"/>
    </row>
    <row r="7" spans="1:4" ht="26.4" x14ac:dyDescent="0.25">
      <c r="A7" s="9" t="s">
        <v>685</v>
      </c>
      <c r="B7" s="9" t="s">
        <v>686</v>
      </c>
      <c r="C7" s="9"/>
      <c r="D7" s="9"/>
    </row>
    <row r="8" spans="1:4" x14ac:dyDescent="0.25">
      <c r="A8" s="9" t="s">
        <v>687</v>
      </c>
      <c r="B8" s="16" t="s">
        <v>688</v>
      </c>
      <c r="C8" s="9"/>
      <c r="D8" s="9"/>
    </row>
    <row r="9" spans="1:4" x14ac:dyDescent="0.25">
      <c r="A9" s="9" t="s">
        <v>689</v>
      </c>
      <c r="B9" s="16" t="s">
        <v>690</v>
      </c>
      <c r="C9" s="9"/>
      <c r="D9" s="9"/>
    </row>
    <row r="10" spans="1:4" x14ac:dyDescent="0.25">
      <c r="A10" s="9" t="s">
        <v>691</v>
      </c>
      <c r="B10" s="16" t="s">
        <v>692</v>
      </c>
      <c r="C10" s="9"/>
      <c r="D10" s="9"/>
    </row>
    <row r="11" spans="1:4" ht="39.6" x14ac:dyDescent="0.25">
      <c r="A11" s="9" t="s">
        <v>693</v>
      </c>
      <c r="B11" s="9" t="s">
        <v>699</v>
      </c>
      <c r="C11" s="9"/>
      <c r="D11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6A9A1-D86B-42C8-A97F-6651FCD8CC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2026-06-26T10:14:08Z</dcterms:modified>
</cp:coreProperties>
</file>